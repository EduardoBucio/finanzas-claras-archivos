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inancialmerc-my.sharepoint.com/personal/j_eduardo_bucio_financialmerc_com/Documents/0. Ventas Digitales Claude/Automatizaciones N8n/"/>
    </mc:Choice>
  </mc:AlternateContent>
  <xr:revisionPtr revIDLastSave="6" documentId="11_0D7823C610818E53C6A23C1FA0ACA06AE9CC9329" xr6:coauthVersionLast="47" xr6:coauthVersionMax="47" xr10:uidLastSave="{C402EAE7-A568-4CF8-A6ED-8E77046C9BBF}"/>
  <bookViews>
    <workbookView xWindow="-120" yWindow="-120" windowWidth="29040" windowHeight="15720" tabRatio="500" firstSheet="1" activeTab="1" xr2:uid="{00000000-000D-0000-FFFF-FFFF00000000}"/>
  </bookViews>
  <sheets>
    <sheet name="🏠 Inicio" sheetId="1" r:id="rId1"/>
    <sheet name="⚙️ Config" sheetId="2" r:id="rId2"/>
    <sheet name="📋 Gastos Diarios" sheetId="3" r:id="rId3"/>
    <sheet name="🔍 Detector Hormiga" sheetId="4" r:id="rId4"/>
    <sheet name="📊 Resumen Mensual" sheetId="5" r:id="rId5"/>
    <sheet name="🎯 Plan de Rescat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5" l="1"/>
  <c r="D19" i="5"/>
  <c r="D17" i="5"/>
  <c r="B17" i="5"/>
  <c r="D15" i="5"/>
  <c r="C9" i="5"/>
  <c r="C7" i="5"/>
  <c r="C5" i="5"/>
  <c r="D25" i="4"/>
  <c r="E25" i="4" s="1"/>
  <c r="C25" i="4"/>
  <c r="C15" i="6" s="1"/>
  <c r="E15" i="6" s="1"/>
  <c r="B25" i="4"/>
  <c r="B24" i="5" s="1"/>
  <c r="D24" i="4"/>
  <c r="E24" i="4" s="1"/>
  <c r="C24" i="4"/>
  <c r="G24" i="4" s="1"/>
  <c r="B24" i="4"/>
  <c r="B23" i="5" s="1"/>
  <c r="D23" i="4"/>
  <c r="D22" i="5" s="1"/>
  <c r="C23" i="4"/>
  <c r="G23" i="4" s="1"/>
  <c r="B23" i="4"/>
  <c r="B22" i="5" s="1"/>
  <c r="D22" i="4"/>
  <c r="D26" i="4" s="1"/>
  <c r="C22" i="4"/>
  <c r="C21" i="5" s="1"/>
  <c r="B22" i="4"/>
  <c r="D21" i="4"/>
  <c r="D20" i="5" s="1"/>
  <c r="C21" i="4"/>
  <c r="C20" i="5" s="1"/>
  <c r="F20" i="5" s="1"/>
  <c r="B21" i="4"/>
  <c r="B20" i="5" s="1"/>
  <c r="D20" i="4"/>
  <c r="E20" i="4" s="1"/>
  <c r="C20" i="4"/>
  <c r="C10" i="6" s="1"/>
  <c r="E10" i="6" s="1"/>
  <c r="B20" i="4"/>
  <c r="B19" i="5" s="1"/>
  <c r="D19" i="4"/>
  <c r="E19" i="4" s="1"/>
  <c r="C19" i="4"/>
  <c r="C9" i="6" s="1"/>
  <c r="E9" i="6" s="1"/>
  <c r="B19" i="4"/>
  <c r="B18" i="5" s="1"/>
  <c r="D18" i="4"/>
  <c r="C18" i="4"/>
  <c r="G18" i="4" s="1"/>
  <c r="B18" i="4"/>
  <c r="D17" i="4"/>
  <c r="D16" i="5" s="1"/>
  <c r="C17" i="4"/>
  <c r="C16" i="5" s="1"/>
  <c r="F16" i="5" s="1"/>
  <c r="B17" i="4"/>
  <c r="B16" i="5" s="1"/>
  <c r="D16" i="4"/>
  <c r="C16" i="4"/>
  <c r="C6" i="6" s="1"/>
  <c r="B16" i="4"/>
  <c r="B15" i="5" s="1"/>
  <c r="G10" i="4"/>
  <c r="G8" i="4"/>
  <c r="G9" i="4" s="1"/>
  <c r="G7" i="4"/>
  <c r="F18" i="4" s="1"/>
  <c r="G6" i="4"/>
  <c r="E64" i="3"/>
  <c r="D64" i="3"/>
  <c r="C10" i="5" s="1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D23" i="2"/>
  <c r="E16" i="5" l="1"/>
  <c r="G15" i="6"/>
  <c r="F15" i="6"/>
  <c r="G9" i="6"/>
  <c r="F9" i="6"/>
  <c r="G10" i="6"/>
  <c r="F10" i="6"/>
  <c r="E6" i="6"/>
  <c r="E22" i="5"/>
  <c r="E17" i="5"/>
  <c r="E20" i="5"/>
  <c r="E18" i="4"/>
  <c r="G21" i="4"/>
  <c r="F19" i="4"/>
  <c r="C7" i="6"/>
  <c r="E7" i="6" s="1"/>
  <c r="C12" i="6"/>
  <c r="E12" i="6" s="1"/>
  <c r="C6" i="5"/>
  <c r="C18" i="5"/>
  <c r="C22" i="5"/>
  <c r="F22" i="5" s="1"/>
  <c r="E23" i="4"/>
  <c r="C8" i="5"/>
  <c r="D18" i="5"/>
  <c r="E18" i="5" s="1"/>
  <c r="G22" i="4"/>
  <c r="F16" i="4"/>
  <c r="G16" i="4"/>
  <c r="F23" i="4"/>
  <c r="C8" i="6"/>
  <c r="E8" i="6" s="1"/>
  <c r="C13" i="6"/>
  <c r="E13" i="6" s="1"/>
  <c r="C26" i="4"/>
  <c r="D21" i="5"/>
  <c r="E21" i="5" s="1"/>
  <c r="E16" i="4"/>
  <c r="G19" i="4"/>
  <c r="F20" i="4"/>
  <c r="C15" i="5"/>
  <c r="F15" i="5" s="1"/>
  <c r="C19" i="5"/>
  <c r="F19" i="5" s="1"/>
  <c r="C23" i="5"/>
  <c r="F23" i="5" s="1"/>
  <c r="E22" i="4"/>
  <c r="G25" i="4"/>
  <c r="C17" i="5"/>
  <c r="F17" i="5" s="1"/>
  <c r="F22" i="4"/>
  <c r="E17" i="4"/>
  <c r="G20" i="4"/>
  <c r="F17" i="4"/>
  <c r="D23" i="5"/>
  <c r="C14" i="6"/>
  <c r="E14" i="6" s="1"/>
  <c r="F25" i="4"/>
  <c r="C11" i="6"/>
  <c r="E11" i="6" s="1"/>
  <c r="G11" i="4"/>
  <c r="G17" i="4"/>
  <c r="F24" i="4"/>
  <c r="E21" i="4"/>
  <c r="F21" i="4"/>
  <c r="C24" i="5"/>
  <c r="F24" i="5" s="1"/>
  <c r="D24" i="5"/>
  <c r="G12" i="6" l="1"/>
  <c r="F12" i="6"/>
  <c r="G7" i="6"/>
  <c r="F7" i="6"/>
  <c r="G14" i="6"/>
  <c r="F14" i="6"/>
  <c r="G11" i="6"/>
  <c r="F11" i="6"/>
  <c r="E23" i="5"/>
  <c r="G13" i="6"/>
  <c r="F13" i="6"/>
  <c r="F21" i="5"/>
  <c r="E15" i="5"/>
  <c r="E24" i="5"/>
  <c r="E19" i="5"/>
  <c r="G8" i="6"/>
  <c r="F8" i="6"/>
  <c r="G6" i="6"/>
  <c r="E16" i="6"/>
  <c r="F6" i="6"/>
  <c r="F16" i="6" s="1"/>
  <c r="B18" i="6" s="1"/>
  <c r="C16" i="6"/>
  <c r="F18" i="5"/>
</calcChain>
</file>

<file path=xl/sharedStrings.xml><?xml version="1.0" encoding="utf-8"?>
<sst xmlns="http://schemas.openxmlformats.org/spreadsheetml/2006/main" count="180" uniqueCount="142">
  <si>
    <t>💸  DETECTOR DE FUGAS — Control de Gastos Hormiga</t>
  </si>
  <si>
    <t>Sistema de detección y eliminación de gastos invisibles  |  Versión 1.0</t>
  </si>
  <si>
    <t>1️⃣  CONFIGURA</t>
  </si>
  <si>
    <t>2️⃣  REGISTRA</t>
  </si>
  <si>
    <t>3️⃣  DESCUBRE</t>
  </si>
  <si>
    <t>Hoja ⚙️ Config
Escribe tu nombre, mes y presupuesto mensual</t>
  </si>
  <si>
    <t>Hoja 📋 Gastos Diarios
Anota cada gasto (chico o grande) al momento de hacerlo</t>
  </si>
  <si>
    <t>Hoja 🔍 Detector Hormiga
Ve exactamente qué categorías se están comiendo tu dinero</t>
  </si>
  <si>
    <t>📂  HOJAS DE ESTE SISTEMA</t>
  </si>
  <si>
    <t>⚙️ Config</t>
  </si>
  <si>
    <t>Parámetros personales: nombre, mes, categorías y presupuesto</t>
  </si>
  <si>
    <t>📋 Gastos Diarios</t>
  </si>
  <si>
    <t>Aquí capturas cada gasto — la única hoja que llenas manualmente</t>
  </si>
  <si>
    <t>🔍 Detector Hormiga</t>
  </si>
  <si>
    <t>Ranking automático de tus fugas. Solo lee, no escribas aquí</t>
  </si>
  <si>
    <t>📊 Resumen Mensual</t>
  </si>
  <si>
    <t>Panorama completo: ¿quedaste bien o te fuiste de feria?</t>
  </si>
  <si>
    <t>🎯 Plan de Rescate</t>
  </si>
  <si>
    <t>Calcula cuánto te ahorrará eliminar cada categoría hormiga</t>
  </si>
  <si>
    <t>🔒  Tus datos no salen de este archivo. No hay conexión a internet, no hay suscripción. Es tuyo.</t>
  </si>
  <si>
    <t>⚙️  CONFIGURACIÓN PERSONAL</t>
  </si>
  <si>
    <t>Llena las celdas en azul. No modifiques las grises.</t>
  </si>
  <si>
    <t>👤  DATOS PERSONALES</t>
  </si>
  <si>
    <t>Tu nombre o apodo</t>
  </si>
  <si>
    <t>Mi nombre</t>
  </si>
  <si>
    <t>Mes que estás analizando</t>
  </si>
  <si>
    <t>Enero 2025</t>
  </si>
  <si>
    <t>Ingreso mensual neto ($)</t>
  </si>
  <si>
    <t>Meta de ahorro mensual ($)</t>
  </si>
  <si>
    <t>🏷️  CATEGORÍAS DE GASTO  (puedes renombrarlas)</t>
  </si>
  <si>
    <t>Código</t>
  </si>
  <si>
    <t>Nombre de categoría</t>
  </si>
  <si>
    <t>Presupuesto mensual ($)</t>
  </si>
  <si>
    <t>Color sugerido</t>
  </si>
  <si>
    <t>CAT01</t>
  </si>
  <si>
    <t>Cafeterías y bebidas</t>
  </si>
  <si>
    <t>☕</t>
  </si>
  <si>
    <t>CAT02</t>
  </si>
  <si>
    <t>Comida rápida / antojitos</t>
  </si>
  <si>
    <t>🌮</t>
  </si>
  <si>
    <t>CAT03</t>
  </si>
  <si>
    <t>Cigarros / vapeadores</t>
  </si>
  <si>
    <t>🚬</t>
  </si>
  <si>
    <t>CAT04</t>
  </si>
  <si>
    <t>Apps y suscripciones</t>
  </si>
  <si>
    <t>📱</t>
  </si>
  <si>
    <t>CAT05</t>
  </si>
  <si>
    <t>Snacks y dulcerías</t>
  </si>
  <si>
    <t>🍬</t>
  </si>
  <si>
    <t>CAT06</t>
  </si>
  <si>
    <t>Taxis y rides extra</t>
  </si>
  <si>
    <t>🚗</t>
  </si>
  <si>
    <t>CAT07</t>
  </si>
  <si>
    <t>Compras de impulso online</t>
  </si>
  <si>
    <t>🛒</t>
  </si>
  <si>
    <t>CAT08</t>
  </si>
  <si>
    <t>Farmacia y salud menor</t>
  </si>
  <si>
    <t>💊</t>
  </si>
  <si>
    <t>CAT09</t>
  </si>
  <si>
    <t>Entretenimiento y ocio</t>
  </si>
  <si>
    <t>🎮</t>
  </si>
  <si>
    <t>CAT10</t>
  </si>
  <si>
    <t>Otros gastos pequeños</t>
  </si>
  <si>
    <t>💸</t>
  </si>
  <si>
    <t>TOTAL PRESUPUESTADO EN CATEGORÍAS</t>
  </si>
  <si>
    <t>📋  REGISTRO DE GASTOS DIARIOS  — Solo llena las columnas en azul</t>
  </si>
  <si>
    <t>✏️  Agrega un renglón por cada gasto. Fecha, descripción, monto y categoría. Las demás columnas se llenan solas.</t>
  </si>
  <si>
    <t>📅 Fecha</t>
  </si>
  <si>
    <t>📝 Descripción del gasto</t>
  </si>
  <si>
    <t>🏷️ Categoría</t>
  </si>
  <si>
    <t>💵 Monto ($)</t>
  </si>
  <si>
    <t>📌 Es hormiga?</t>
  </si>
  <si>
    <t>💬 Nota (opcional)</t>
  </si>
  <si>
    <t>2025-01-02</t>
  </si>
  <si>
    <t>Café en Starbucks camino al trabajo</t>
  </si>
  <si>
    <t>Uber del gym a casa</t>
  </si>
  <si>
    <t>2025-01-03</t>
  </si>
  <si>
    <t>OXXO — agua y papas</t>
  </si>
  <si>
    <t>Netflix mensualidad</t>
  </si>
  <si>
    <t>2025-01-04</t>
  </si>
  <si>
    <t>Tacos en el puesto de la esquina</t>
  </si>
  <si>
    <t>2025-01-05</t>
  </si>
  <si>
    <t>Café de la oficina (máquina)</t>
  </si>
  <si>
    <t>2025-01-06</t>
  </si>
  <si>
    <t>Amazon — cable que no necesitaba</t>
  </si>
  <si>
    <t>2025-01-07</t>
  </si>
  <si>
    <t>Farmacia — vitaminas</t>
  </si>
  <si>
    <t>2025-01-08</t>
  </si>
  <si>
    <t>Disney+ mensualidad</t>
  </si>
  <si>
    <t>2025-01-09</t>
  </si>
  <si>
    <t>Cigarros</t>
  </si>
  <si>
    <t>2025-01-10</t>
  </si>
  <si>
    <t>Lunch en centro comercial</t>
  </si>
  <si>
    <t>2025-01-11</t>
  </si>
  <si>
    <t>Spotify</t>
  </si>
  <si>
    <t>2025-01-12</t>
  </si>
  <si>
    <t>Café frío en 7-Eleven</t>
  </si>
  <si>
    <t>2025-01-13</t>
  </si>
  <si>
    <t>Rappi — antojo nocturno</t>
  </si>
  <si>
    <t>2025-01-14</t>
  </si>
  <si>
    <t>Juego móvil (coins)</t>
  </si>
  <si>
    <t>TOTAL REGISTRADO</t>
  </si>
  <si>
    <t>🔍  DETECTOR DE FUGAS — ¿A dónde se fue tu dinero?</t>
  </si>
  <si>
    <t>Esta hoja se actualiza sola. No escribas aquí — solo lee.</t>
  </si>
  <si>
    <t>📊  RESUMEN DEL MES</t>
  </si>
  <si>
    <t>💰 Ingreso mensual</t>
  </si>
  <si>
    <t>💸 Total gastado este mes</t>
  </si>
  <si>
    <t>🐜 Total en gastos hormiga</t>
  </si>
  <si>
    <t>📉 % del ingreso en hormiga</t>
  </si>
  <si>
    <t>🎯 Meta de ahorro</t>
  </si>
  <si>
    <t>✅ ¿Lograste la meta?</t>
  </si>
  <si>
    <t>🏆  RANKING DE CATEGORÍAS  (de mayor a menor gasto)</t>
  </si>
  <si>
    <t>Categoría</t>
  </si>
  <si>
    <t>Gastado ($)</t>
  </si>
  <si>
    <t>Presupuesto ($)</t>
  </si>
  <si>
    <t>Diferencia ($)</t>
  </si>
  <si>
    <t>% del total</t>
  </si>
  <si>
    <t>Estado</t>
  </si>
  <si>
    <t>TOTAL</t>
  </si>
  <si>
    <t>📊  RESUMEN MENSUAL  — El panorama completo</t>
  </si>
  <si>
    <t>💰  FLUJO DEL MES</t>
  </si>
  <si>
    <t>Ingreso neto mensual</t>
  </si>
  <si>
    <t>Total gastado</t>
  </si>
  <si>
    <t>Total en gastos hormiga</t>
  </si>
  <si>
    <t>Saldo al final del mes</t>
  </si>
  <si>
    <t>Meta de ahorro</t>
  </si>
  <si>
    <t>Diferencia vs meta</t>
  </si>
  <si>
    <t>🏷️  GASTO POR CATEGORÍA (automático desde Detector)</t>
  </si>
  <si>
    <t>Gastado</t>
  </si>
  <si>
    <t>Presupuesto</t>
  </si>
  <si>
    <t>% Uso</t>
  </si>
  <si>
    <t>Alerta</t>
  </si>
  <si>
    <t>🎯  PLAN DE RESCATE  — Cuánto puedes recuperar</t>
  </si>
  <si>
    <t>Indica qué % quieres reducir en cada categoría y verás cuánto dinero recuperas al mes y al año.</t>
  </si>
  <si>
    <t>Gastado este mes</t>
  </si>
  <si>
    <t>% que vas a reducir</t>
  </si>
  <si>
    <t>Ahorro mensual</t>
  </si>
  <si>
    <t>Ahorro anual</t>
  </si>
  <si>
    <t>¿Vale la pena?</t>
  </si>
  <si>
    <t>Compromiso</t>
  </si>
  <si>
    <t>Escribe aquí tu compromiso</t>
  </si>
  <si>
    <t>🏆  TOTAL RECUPERABLE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</si>
</sst>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%"/>
    <numFmt numFmtId="167" formatCode="\$#,##0;&quot;($&quot;#,##0\);\-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AAAAAA"/>
      <name val="Arial"/>
      <charset val="1"/>
    </font>
    <font>
      <b/>
      <sz val="11"/>
      <color rgb="FFFFFFFF"/>
      <name val="Arial"/>
      <charset val="1"/>
    </font>
    <font>
      <sz val="9"/>
      <color rgb="FF2C3E50"/>
      <name val="Arial"/>
      <charset val="1"/>
    </font>
    <font>
      <b/>
      <sz val="10"/>
      <color rgb="FFE94560"/>
      <name val="Arial"/>
      <charset val="1"/>
    </font>
    <font>
      <b/>
      <sz val="9"/>
      <color rgb="FF27AE60"/>
      <name val="Arial"/>
      <charset val="1"/>
    </font>
    <font>
      <b/>
      <sz val="14"/>
      <color rgb="FFFFFFFF"/>
      <name val="Arial"/>
      <charset val="1"/>
    </font>
    <font>
      <sz val="9"/>
      <color rgb="FFAAAAAA"/>
      <name val="Arial"/>
      <charset val="1"/>
    </font>
    <font>
      <b/>
      <sz val="10"/>
      <color rgb="FFFFFFFF"/>
      <name val="Arial"/>
      <charset val="1"/>
    </font>
    <font>
      <sz val="10"/>
      <color rgb="FF2C3E50"/>
      <name val="Arial"/>
      <charset val="1"/>
    </font>
    <font>
      <b/>
      <sz val="10"/>
      <color rgb="FF2980B9"/>
      <name val="Arial"/>
      <charset val="1"/>
    </font>
    <font>
      <b/>
      <sz val="9"/>
      <color rgb="FF888888"/>
      <name val="Arial"/>
      <charset val="1"/>
    </font>
    <font>
      <b/>
      <sz val="10"/>
      <color rgb="FF2C3E50"/>
      <name val="Arial"/>
      <charset val="1"/>
    </font>
    <font>
      <b/>
      <sz val="13"/>
      <color rgb="FFFFFFFF"/>
      <name val="Arial"/>
      <charset val="1"/>
    </font>
    <font>
      <sz val="9"/>
      <color rgb="FF888888"/>
      <name val="Arial"/>
      <charset val="1"/>
    </font>
    <font>
      <b/>
      <sz val="11"/>
      <color rgb="FFE94560"/>
      <name val="Arial"/>
      <charset val="1"/>
    </font>
    <font>
      <b/>
      <sz val="11"/>
      <color rgb="FF2C3E50"/>
      <name val="Arial"/>
      <charset val="1"/>
    </font>
    <font>
      <b/>
      <sz val="9"/>
      <color rgb="FFFFFFFF"/>
      <name val="Arial"/>
      <charset val="1"/>
    </font>
    <font>
      <b/>
      <sz val="10"/>
      <color rgb="FF27AE60"/>
      <name val="Arial"/>
      <charset val="1"/>
    </font>
    <font>
      <b/>
      <sz val="11"/>
      <color rgb="FF27AE60"/>
      <name val="Arial"/>
      <charset val="1"/>
    </font>
    <font>
      <b/>
      <sz val="13"/>
      <color rgb="FFF5A623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94560"/>
        <bgColor rgb="FF993366"/>
      </patternFill>
    </fill>
    <fill>
      <patternFill patternType="solid">
        <fgColor rgb="FF2980B9"/>
        <bgColor rgb="FF008080"/>
      </patternFill>
    </fill>
    <fill>
      <patternFill patternType="solid">
        <fgColor rgb="FF27AE60"/>
        <bgColor rgb="FF008080"/>
      </patternFill>
    </fill>
    <fill>
      <patternFill patternType="solid">
        <fgColor rgb="FFF4F6F8"/>
        <bgColor rgb="FFEBF5FB"/>
      </patternFill>
    </fill>
    <fill>
      <patternFill patternType="solid">
        <fgColor rgb="FFEBF5FB"/>
        <bgColor rgb="FFEAF7EE"/>
      </patternFill>
    </fill>
    <fill>
      <patternFill patternType="solid">
        <fgColor rgb="FFFFFFFF"/>
        <bgColor rgb="FFF4F6F8"/>
      </patternFill>
    </fill>
    <fill>
      <patternFill patternType="solid">
        <fgColor rgb="FFEAF7EE"/>
        <bgColor rgb="FFEBF5FB"/>
      </patternFill>
    </fill>
    <fill>
      <patternFill patternType="solid">
        <fgColor rgb="FFF5A623"/>
        <bgColor rgb="FFFFCC00"/>
      </patternFill>
    </fill>
  </fills>
  <borders count="5">
    <border>
      <left/>
      <right/>
      <top/>
      <bottom/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AEB6BF"/>
      </left>
      <right style="medium">
        <color rgb="FFAEB6BF"/>
      </right>
      <top style="medium">
        <color rgb="FFAEB6BF"/>
      </top>
      <bottom style="medium">
        <color rgb="FFAEB6BF"/>
      </bottom>
      <diagonal/>
    </border>
    <border>
      <left style="medium">
        <color rgb="FFAEB6BF"/>
      </left>
      <right/>
      <top style="medium">
        <color rgb="FFAEB6BF"/>
      </top>
      <bottom style="medium">
        <color rgb="FFAEB6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9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1" fillId="8" borderId="3" xfId="0" applyFont="1" applyFill="1" applyBorder="1"/>
    <xf numFmtId="164" fontId="11" fillId="8" borderId="3" xfId="0" applyNumberFormat="1" applyFont="1" applyFill="1" applyBorder="1"/>
    <xf numFmtId="0" fontId="0" fillId="7" borderId="2" xfId="0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3" fillId="11" borderId="3" xfId="0" applyFont="1" applyFill="1" applyBorder="1"/>
    <xf numFmtId="164" fontId="13" fillId="11" borderId="3" xfId="0" applyNumberFormat="1" applyFont="1" applyFill="1" applyBorder="1"/>
    <xf numFmtId="0" fontId="9" fillId="4" borderId="2" xfId="0" applyFont="1" applyFill="1" applyBorder="1" applyAlignment="1">
      <alignment horizontal="center" vertical="center"/>
    </xf>
    <xf numFmtId="14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/>
    <xf numFmtId="0" fontId="11" fillId="8" borderId="2" xfId="0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/>
    </xf>
    <xf numFmtId="0" fontId="15" fillId="7" borderId="2" xfId="0" applyFont="1" applyFill="1" applyBorder="1"/>
    <xf numFmtId="0" fontId="10" fillId="9" borderId="2" xfId="0" applyFont="1" applyFill="1" applyBorder="1" applyAlignment="1">
      <alignment horizontal="center" vertical="center"/>
    </xf>
    <xf numFmtId="0" fontId="15" fillId="9" borderId="2" xfId="0" applyFont="1" applyFill="1" applyBorder="1"/>
    <xf numFmtId="165" fontId="3" fillId="4" borderId="0" xfId="0" applyNumberFormat="1" applyFont="1" applyFill="1" applyAlignment="1">
      <alignment horizontal="right" vertical="center"/>
    </xf>
    <xf numFmtId="0" fontId="13" fillId="7" borderId="2" xfId="0" applyFont="1" applyFill="1" applyBorder="1"/>
    <xf numFmtId="164" fontId="16" fillId="7" borderId="2" xfId="0" applyNumberFormat="1" applyFont="1" applyFill="1" applyBorder="1" applyAlignment="1">
      <alignment horizontal="right" vertical="center"/>
    </xf>
    <xf numFmtId="0" fontId="13" fillId="9" borderId="2" xfId="0" applyFont="1" applyFill="1" applyBorder="1"/>
    <xf numFmtId="164" fontId="16" fillId="9" borderId="2" xfId="0" applyNumberFormat="1" applyFont="1" applyFill="1" applyBorder="1" applyAlignment="1">
      <alignment horizontal="right" vertical="center"/>
    </xf>
    <xf numFmtId="166" fontId="16" fillId="9" borderId="2" xfId="0" applyNumberFormat="1" applyFont="1" applyFill="1" applyBorder="1" applyAlignment="1">
      <alignment horizontal="right" vertical="center"/>
    </xf>
    <xf numFmtId="49" fontId="16" fillId="9" borderId="2" xfId="0" applyNumberFormat="1" applyFont="1" applyFill="1" applyBorder="1" applyAlignment="1">
      <alignment horizontal="right" vertical="center"/>
    </xf>
    <xf numFmtId="164" fontId="10" fillId="7" borderId="2" xfId="0" applyNumberFormat="1" applyFont="1" applyFill="1" applyBorder="1"/>
    <xf numFmtId="167" fontId="10" fillId="7" borderId="2" xfId="0" applyNumberFormat="1" applyFont="1" applyFill="1" applyBorder="1"/>
    <xf numFmtId="166" fontId="10" fillId="7" borderId="2" xfId="0" applyNumberFormat="1" applyFont="1" applyFill="1" applyBorder="1"/>
    <xf numFmtId="164" fontId="10" fillId="9" borderId="2" xfId="0" applyNumberFormat="1" applyFont="1" applyFill="1" applyBorder="1"/>
    <xf numFmtId="167" fontId="10" fillId="9" borderId="2" xfId="0" applyNumberFormat="1" applyFont="1" applyFill="1" applyBorder="1"/>
    <xf numFmtId="166" fontId="10" fillId="9" borderId="2" xfId="0" applyNumberFormat="1" applyFont="1" applyFill="1" applyBorder="1"/>
    <xf numFmtId="0" fontId="9" fillId="2" borderId="3" xfId="0" applyFont="1" applyFill="1" applyBorder="1"/>
    <xf numFmtId="164" fontId="9" fillId="2" borderId="3" xfId="0" applyNumberFormat="1" applyFont="1" applyFill="1" applyBorder="1"/>
    <xf numFmtId="0" fontId="10" fillId="7" borderId="2" xfId="0" applyFont="1" applyFill="1" applyBorder="1"/>
    <xf numFmtId="0" fontId="10" fillId="9" borderId="2" xfId="0" applyFont="1" applyFill="1" applyBorder="1"/>
    <xf numFmtId="0" fontId="13" fillId="11" borderId="2" xfId="0" applyFont="1" applyFill="1" applyBorder="1"/>
    <xf numFmtId="9" fontId="10" fillId="7" borderId="2" xfId="0" applyNumberFormat="1" applyFont="1" applyFill="1" applyBorder="1"/>
    <xf numFmtId="9" fontId="10" fillId="9" borderId="2" xfId="0" applyNumberFormat="1" applyFont="1" applyFill="1" applyBorder="1"/>
    <xf numFmtId="0" fontId="18" fillId="4" borderId="2" xfId="0" applyFont="1" applyFill="1" applyBorder="1" applyAlignment="1">
      <alignment horizontal="center" vertical="center"/>
    </xf>
    <xf numFmtId="9" fontId="11" fillId="8" borderId="3" xfId="0" applyNumberFormat="1" applyFont="1" applyFill="1" applyBorder="1" applyAlignment="1">
      <alignment horizontal="center" vertical="center"/>
    </xf>
    <xf numFmtId="164" fontId="19" fillId="7" borderId="2" xfId="0" applyNumberFormat="1" applyFont="1" applyFill="1" applyBorder="1"/>
    <xf numFmtId="164" fontId="20" fillId="7" borderId="2" xfId="0" applyNumberFormat="1" applyFont="1" applyFill="1" applyBorder="1"/>
    <xf numFmtId="0" fontId="4" fillId="7" borderId="2" xfId="0" applyFont="1" applyFill="1" applyBorder="1"/>
    <xf numFmtId="0" fontId="8" fillId="8" borderId="3" xfId="0" applyFont="1" applyFill="1" applyBorder="1"/>
    <xf numFmtId="164" fontId="19" fillId="9" borderId="2" xfId="0" applyNumberFormat="1" applyFont="1" applyFill="1" applyBorder="1"/>
    <xf numFmtId="164" fontId="20" fillId="9" borderId="2" xfId="0" applyNumberFormat="1" applyFont="1" applyFill="1" applyBorder="1"/>
    <xf numFmtId="0" fontId="4" fillId="9" borderId="2" xfId="0" applyFont="1" applyFill="1" applyBorder="1"/>
    <xf numFmtId="0" fontId="3" fillId="2" borderId="3" xfId="0" applyFont="1" applyFill="1" applyBorder="1"/>
    <xf numFmtId="164" fontId="3" fillId="2" borderId="3" xfId="0" applyNumberFormat="1" applyFont="1" applyFill="1" applyBorder="1"/>
    <xf numFmtId="0" fontId="0" fillId="2" borderId="3" xfId="0" applyFill="1" applyBorder="1"/>
    <xf numFmtId="164" fontId="21" fillId="2" borderId="3" xfId="0" applyNumberFormat="1" applyFont="1" applyFill="1" applyBorder="1"/>
    <xf numFmtId="0" fontId="9" fillId="4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4" fontId="17" fillId="7" borderId="1" xfId="0" applyNumberFormat="1" applyFont="1" applyFill="1" applyBorder="1" applyAlignment="1">
      <alignment horizontal="right" vertical="center"/>
    </xf>
    <xf numFmtId="164" fontId="17" fillId="9" borderId="1" xfId="0" applyNumberFormat="1" applyFont="1" applyFill="1" applyBorder="1" applyAlignment="1">
      <alignment horizontal="right" vertical="center"/>
    </xf>
    <xf numFmtId="164" fontId="16" fillId="11" borderId="1" xfId="0" applyNumberFormat="1" applyFont="1" applyFill="1" applyBorder="1" applyAlignment="1">
      <alignment horizontal="right" vertical="center"/>
    </xf>
    <xf numFmtId="167" fontId="16" fillId="11" borderId="1" xfId="0" applyNumberFormat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DED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AEB6BF"/>
      <rgbColor rgb="FF888888"/>
      <rgbColor rgb="FF9999FF"/>
      <rgbColor rgb="FF993366"/>
      <rgbColor rgb="FFF4F6F8"/>
      <rgbColor rgb="FFEAF7EE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E94560"/>
      <rgbColor rgb="FF666699"/>
      <rgbColor rgb="FFAAAAAA"/>
      <rgbColor rgb="FF16213E"/>
      <rgbColor rgb="FF27AE60"/>
      <rgbColor rgb="FF003300"/>
      <rgbColor rgb="FF1A1A2E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6"/>
  <sheetViews>
    <sheetView showGridLines="0" topLeftCell="A2" zoomScale="130" zoomScaleNormal="130" workbookViewId="0"/>
  </sheetViews>
  <sheetFormatPr baseColWidth="10" defaultColWidth="8.7109375" defaultRowHeight="15" x14ac:dyDescent="0.25"/>
  <cols>
    <col min="1" max="1" width="3" customWidth="1"/>
    <col min="2" max="2" width="18" customWidth="1"/>
    <col min="3" max="3" width="26" customWidth="1"/>
    <col min="4" max="7" width="18" customWidth="1"/>
    <col min="8" max="8" width="3" customWidth="1"/>
  </cols>
  <sheetData>
    <row r="1" spans="2:7" ht="7.5" customHeight="1" x14ac:dyDescent="0.25"/>
    <row r="2" spans="2:7" ht="39.75" customHeight="1" x14ac:dyDescent="0.25">
      <c r="B2" s="14" t="s">
        <v>0</v>
      </c>
      <c r="C2" s="14"/>
      <c r="D2" s="14"/>
      <c r="E2" s="14"/>
      <c r="F2" s="14"/>
      <c r="G2" s="14"/>
    </row>
    <row r="3" spans="2:7" ht="21.75" customHeight="1" x14ac:dyDescent="0.25">
      <c r="B3" s="13" t="s">
        <v>1</v>
      </c>
      <c r="C3" s="13"/>
      <c r="D3" s="13"/>
      <c r="E3" s="13"/>
      <c r="F3" s="13"/>
      <c r="G3" s="13"/>
    </row>
    <row r="5" spans="2:7" ht="27.75" customHeight="1" x14ac:dyDescent="0.25">
      <c r="B5" s="12" t="s">
        <v>2</v>
      </c>
      <c r="C5" s="12"/>
      <c r="D5" s="11" t="s">
        <v>3</v>
      </c>
      <c r="E5" s="11"/>
      <c r="F5" s="10" t="s">
        <v>4</v>
      </c>
      <c r="G5" s="10"/>
    </row>
    <row r="6" spans="2:7" ht="36" customHeight="1" x14ac:dyDescent="0.25">
      <c r="B6" s="9" t="s">
        <v>5</v>
      </c>
      <c r="C6" s="9"/>
      <c r="D6" s="9" t="s">
        <v>6</v>
      </c>
      <c r="E6" s="9"/>
      <c r="F6" s="9" t="s">
        <v>7</v>
      </c>
      <c r="G6" s="9"/>
    </row>
    <row r="8" spans="2:7" ht="13.5" customHeight="1" x14ac:dyDescent="0.25"/>
    <row r="9" spans="2:7" ht="21.75" customHeight="1" x14ac:dyDescent="0.25">
      <c r="B9" s="8" t="s">
        <v>8</v>
      </c>
      <c r="C9" s="8"/>
      <c r="D9" s="8"/>
      <c r="E9" s="8"/>
      <c r="F9" s="8"/>
      <c r="G9" s="8"/>
    </row>
    <row r="10" spans="2:7" ht="19.5" customHeight="1" x14ac:dyDescent="0.25">
      <c r="B10" s="15" t="s">
        <v>9</v>
      </c>
      <c r="C10" s="7" t="s">
        <v>10</v>
      </c>
      <c r="D10" s="7"/>
      <c r="E10" s="7"/>
      <c r="F10" s="7"/>
      <c r="G10" s="7"/>
    </row>
    <row r="11" spans="2:7" ht="19.5" customHeight="1" x14ac:dyDescent="0.25">
      <c r="B11" s="16" t="s">
        <v>11</v>
      </c>
      <c r="C11" s="6" t="s">
        <v>12</v>
      </c>
      <c r="D11" s="6"/>
      <c r="E11" s="6"/>
      <c r="F11" s="6"/>
      <c r="G11" s="6"/>
    </row>
    <row r="12" spans="2:7" ht="19.5" customHeight="1" x14ac:dyDescent="0.25">
      <c r="B12" s="17" t="s">
        <v>13</v>
      </c>
      <c r="C12" s="5" t="s">
        <v>14</v>
      </c>
      <c r="D12" s="5"/>
      <c r="E12" s="5"/>
      <c r="F12" s="5"/>
      <c r="G12" s="5"/>
    </row>
    <row r="13" spans="2:7" ht="19.5" customHeight="1" x14ac:dyDescent="0.25">
      <c r="B13" s="16" t="s">
        <v>15</v>
      </c>
      <c r="C13" s="6" t="s">
        <v>16</v>
      </c>
      <c r="D13" s="6"/>
      <c r="E13" s="6"/>
      <c r="F13" s="6"/>
      <c r="G13" s="6"/>
    </row>
    <row r="14" spans="2:7" ht="19.5" customHeight="1" x14ac:dyDescent="0.25">
      <c r="B14" s="17" t="s">
        <v>17</v>
      </c>
      <c r="C14" s="5" t="s">
        <v>18</v>
      </c>
      <c r="D14" s="5"/>
      <c r="E14" s="5"/>
      <c r="F14" s="5"/>
      <c r="G14" s="5"/>
    </row>
    <row r="16" spans="2:7" ht="27.75" customHeight="1" x14ac:dyDescent="0.25">
      <c r="B16" s="4" t="s">
        <v>19</v>
      </c>
      <c r="C16" s="4"/>
      <c r="D16" s="4"/>
      <c r="E16" s="4"/>
      <c r="F16" s="4"/>
      <c r="G16" s="4"/>
    </row>
  </sheetData>
  <mergeCells count="15">
    <mergeCell ref="C11:G11"/>
    <mergeCell ref="C12:G12"/>
    <mergeCell ref="C13:G13"/>
    <mergeCell ref="C14:G14"/>
    <mergeCell ref="B16:G16"/>
    <mergeCell ref="B6:C6"/>
    <mergeCell ref="D6:E6"/>
    <mergeCell ref="F6:G6"/>
    <mergeCell ref="B9:G9"/>
    <mergeCell ref="C10:G10"/>
    <mergeCell ref="B2:G2"/>
    <mergeCell ref="B3:G3"/>
    <mergeCell ref="B5:C5"/>
    <mergeCell ref="D5:E5"/>
    <mergeCell ref="F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3"/>
  <sheetViews>
    <sheetView showGridLines="0" tabSelected="1" topLeftCell="A2" zoomScaleNormal="100" workbookViewId="0">
      <selection activeCell="F8" sqref="F8"/>
    </sheetView>
  </sheetViews>
  <sheetFormatPr baseColWidth="10" defaultColWidth="8.7109375" defaultRowHeight="15" x14ac:dyDescent="0.25"/>
  <cols>
    <col min="1" max="1" width="3" customWidth="1"/>
    <col min="2" max="2" width="28" customWidth="1"/>
    <col min="3" max="3" width="30" customWidth="1"/>
    <col min="4" max="5" width="22" customWidth="1"/>
    <col min="6" max="6" width="3" customWidth="1"/>
  </cols>
  <sheetData>
    <row r="2" spans="2:5" ht="36" customHeight="1" x14ac:dyDescent="0.25">
      <c r="B2" s="3" t="s">
        <v>20</v>
      </c>
      <c r="C2" s="3"/>
      <c r="D2" s="3"/>
      <c r="E2" s="3"/>
    </row>
    <row r="3" spans="2:5" ht="18" customHeight="1" x14ac:dyDescent="0.25">
      <c r="B3" s="2" t="s">
        <v>21</v>
      </c>
      <c r="C3" s="2"/>
      <c r="D3" s="2"/>
      <c r="E3" s="2"/>
    </row>
    <row r="5" spans="2:5" ht="18" customHeight="1" x14ac:dyDescent="0.25">
      <c r="B5" s="1" t="s">
        <v>22</v>
      </c>
      <c r="C5" s="1"/>
      <c r="D5" s="1"/>
      <c r="E5" s="1"/>
    </row>
    <row r="6" spans="2:5" ht="21.75" customHeight="1" x14ac:dyDescent="0.25">
      <c r="B6" s="18" t="s">
        <v>23</v>
      </c>
      <c r="C6" s="19" t="s">
        <v>24</v>
      </c>
    </row>
    <row r="7" spans="2:5" ht="21.75" customHeight="1" x14ac:dyDescent="0.25">
      <c r="B7" s="18" t="s">
        <v>25</v>
      </c>
      <c r="C7" s="19" t="s">
        <v>26</v>
      </c>
    </row>
    <row r="8" spans="2:5" ht="21.75" customHeight="1" x14ac:dyDescent="0.25">
      <c r="B8" s="18" t="s">
        <v>27</v>
      </c>
      <c r="C8" s="19">
        <v>15000</v>
      </c>
    </row>
    <row r="9" spans="2:5" ht="21.75" customHeight="1" x14ac:dyDescent="0.25">
      <c r="B9" s="18" t="s">
        <v>28</v>
      </c>
      <c r="C9" s="19">
        <v>2000</v>
      </c>
    </row>
    <row r="11" spans="2:5" ht="18" customHeight="1" x14ac:dyDescent="0.25">
      <c r="B11" s="71" t="s">
        <v>29</v>
      </c>
      <c r="C11" s="71"/>
      <c r="D11" s="71"/>
      <c r="E11" s="71"/>
    </row>
    <row r="12" spans="2:5" x14ac:dyDescent="0.25">
      <c r="B12" s="20" t="s">
        <v>30</v>
      </c>
      <c r="C12" s="20" t="s">
        <v>31</v>
      </c>
      <c r="D12" s="20" t="s">
        <v>32</v>
      </c>
      <c r="E12" s="20" t="s">
        <v>33</v>
      </c>
    </row>
    <row r="13" spans="2:5" ht="19.5" customHeight="1" x14ac:dyDescent="0.25">
      <c r="B13" s="21" t="s">
        <v>34</v>
      </c>
      <c r="C13" s="22" t="s">
        <v>35</v>
      </c>
      <c r="D13" s="23">
        <v>800</v>
      </c>
      <c r="E13" s="24" t="s">
        <v>36</v>
      </c>
    </row>
    <row r="14" spans="2:5" ht="19.5" customHeight="1" x14ac:dyDescent="0.25">
      <c r="B14" s="25" t="s">
        <v>37</v>
      </c>
      <c r="C14" s="22" t="s">
        <v>38</v>
      </c>
      <c r="D14" s="23">
        <v>1000</v>
      </c>
      <c r="E14" s="26" t="s">
        <v>39</v>
      </c>
    </row>
    <row r="15" spans="2:5" ht="19.5" customHeight="1" x14ac:dyDescent="0.25">
      <c r="B15" s="21" t="s">
        <v>40</v>
      </c>
      <c r="C15" s="22" t="s">
        <v>41</v>
      </c>
      <c r="D15" s="23">
        <v>500</v>
      </c>
      <c r="E15" s="24" t="s">
        <v>42</v>
      </c>
    </row>
    <row r="16" spans="2:5" ht="19.5" customHeight="1" x14ac:dyDescent="0.25">
      <c r="B16" s="25" t="s">
        <v>43</v>
      </c>
      <c r="C16" s="22" t="s">
        <v>44</v>
      </c>
      <c r="D16" s="23">
        <v>400</v>
      </c>
      <c r="E16" s="26" t="s">
        <v>45</v>
      </c>
    </row>
    <row r="17" spans="2:5" ht="19.5" customHeight="1" x14ac:dyDescent="0.25">
      <c r="B17" s="21" t="s">
        <v>46</v>
      </c>
      <c r="C17" s="22" t="s">
        <v>47</v>
      </c>
      <c r="D17" s="23">
        <v>350</v>
      </c>
      <c r="E17" s="24" t="s">
        <v>48</v>
      </c>
    </row>
    <row r="18" spans="2:5" ht="19.5" customHeight="1" x14ac:dyDescent="0.25">
      <c r="B18" s="25" t="s">
        <v>49</v>
      </c>
      <c r="C18" s="22" t="s">
        <v>50</v>
      </c>
      <c r="D18" s="23">
        <v>600</v>
      </c>
      <c r="E18" s="26" t="s">
        <v>51</v>
      </c>
    </row>
    <row r="19" spans="2:5" ht="19.5" customHeight="1" x14ac:dyDescent="0.25">
      <c r="B19" s="21" t="s">
        <v>52</v>
      </c>
      <c r="C19" s="22" t="s">
        <v>53</v>
      </c>
      <c r="D19" s="23">
        <v>700</v>
      </c>
      <c r="E19" s="24" t="s">
        <v>54</v>
      </c>
    </row>
    <row r="20" spans="2:5" ht="19.5" customHeight="1" x14ac:dyDescent="0.25">
      <c r="B20" s="25" t="s">
        <v>55</v>
      </c>
      <c r="C20" s="22" t="s">
        <v>56</v>
      </c>
      <c r="D20" s="23">
        <v>300</v>
      </c>
      <c r="E20" s="26" t="s">
        <v>57</v>
      </c>
    </row>
    <row r="21" spans="2:5" ht="19.5" customHeight="1" x14ac:dyDescent="0.25">
      <c r="B21" s="21" t="s">
        <v>58</v>
      </c>
      <c r="C21" s="22" t="s">
        <v>59</v>
      </c>
      <c r="D21" s="23">
        <v>800</v>
      </c>
      <c r="E21" s="24" t="s">
        <v>60</v>
      </c>
    </row>
    <row r="22" spans="2:5" ht="19.5" customHeight="1" x14ac:dyDescent="0.25">
      <c r="B22" s="25" t="s">
        <v>61</v>
      </c>
      <c r="C22" s="22" t="s">
        <v>62</v>
      </c>
      <c r="D22" s="23">
        <v>500</v>
      </c>
      <c r="E22" s="26" t="s">
        <v>63</v>
      </c>
    </row>
    <row r="23" spans="2:5" ht="21.75" customHeight="1" x14ac:dyDescent="0.25">
      <c r="C23" s="27" t="s">
        <v>64</v>
      </c>
      <c r="D23" s="28">
        <f>SUM(D13:D22)</f>
        <v>5950</v>
      </c>
    </row>
  </sheetData>
  <mergeCells count="4">
    <mergeCell ref="B2:E2"/>
    <mergeCell ref="B3:E3"/>
    <mergeCell ref="B5:E5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showGridLines="0" zoomScaleNormal="100" workbookViewId="0">
      <pane ySplit="3" topLeftCell="A4" activePane="bottomLeft" state="frozen"/>
      <selection pane="bottomLeft" activeCell="J10" sqref="J10"/>
    </sheetView>
  </sheetViews>
  <sheetFormatPr baseColWidth="10" defaultColWidth="8.7109375" defaultRowHeight="15" x14ac:dyDescent="0.25"/>
  <cols>
    <col min="1" max="1" width="10.140625" bestFit="1" customWidth="1"/>
    <col min="2" max="2" width="34.5703125" bestFit="1" customWidth="1"/>
    <col min="3" max="3" width="26.140625" bestFit="1" customWidth="1"/>
    <col min="4" max="4" width="12.5703125" bestFit="1" customWidth="1"/>
    <col min="5" max="5" width="15.5703125" bestFit="1" customWidth="1"/>
    <col min="6" max="6" width="18.140625" bestFit="1" customWidth="1"/>
  </cols>
  <sheetData>
    <row r="1" spans="1:6" ht="36" customHeight="1" x14ac:dyDescent="0.25">
      <c r="A1" s="72" t="s">
        <v>65</v>
      </c>
      <c r="B1" s="72"/>
      <c r="C1" s="72"/>
      <c r="D1" s="72"/>
      <c r="E1" s="72"/>
      <c r="F1" s="72"/>
    </row>
    <row r="2" spans="1:6" ht="18" customHeight="1" x14ac:dyDescent="0.25">
      <c r="A2" s="2" t="s">
        <v>66</v>
      </c>
      <c r="B2" s="2"/>
      <c r="C2" s="2"/>
      <c r="D2" s="2"/>
      <c r="E2" s="2"/>
      <c r="F2" s="2"/>
    </row>
    <row r="3" spans="1:6" ht="21.75" customHeight="1" x14ac:dyDescent="0.25">
      <c r="A3" s="29" t="s">
        <v>67</v>
      </c>
      <c r="B3" s="29" t="s">
        <v>68</v>
      </c>
      <c r="C3" s="29" t="s">
        <v>69</v>
      </c>
      <c r="D3" s="29" t="s">
        <v>70</v>
      </c>
      <c r="E3" s="29" t="s">
        <v>71</v>
      </c>
      <c r="F3" s="29" t="s">
        <v>72</v>
      </c>
    </row>
    <row r="4" spans="1:6" ht="19.5" customHeight="1" x14ac:dyDescent="0.25">
      <c r="A4" s="30" t="s">
        <v>73</v>
      </c>
      <c r="B4" s="31" t="s">
        <v>74</v>
      </c>
      <c r="C4" s="32" t="s">
        <v>35</v>
      </c>
      <c r="D4" s="33">
        <v>85</v>
      </c>
      <c r="E4" s="34" t="str">
        <f t="shared" ref="E4:E35" si="0">IF(D4="","",IF(AND(D4&gt;0,D4&lt;200),"🐜 SÍ","⬜ No"))</f>
        <v>🐜 SÍ</v>
      </c>
      <c r="F4" s="35"/>
    </row>
    <row r="5" spans="1:6" ht="19.5" customHeight="1" x14ac:dyDescent="0.25">
      <c r="A5" s="30" t="s">
        <v>73</v>
      </c>
      <c r="B5" s="31" t="s">
        <v>75</v>
      </c>
      <c r="C5" s="32" t="s">
        <v>50</v>
      </c>
      <c r="D5" s="33">
        <v>65</v>
      </c>
      <c r="E5" s="36" t="str">
        <f t="shared" si="0"/>
        <v>🐜 SÍ</v>
      </c>
      <c r="F5" s="37"/>
    </row>
    <row r="6" spans="1:6" ht="19.5" customHeight="1" x14ac:dyDescent="0.25">
      <c r="A6" s="30" t="s">
        <v>76</v>
      </c>
      <c r="B6" s="31" t="s">
        <v>77</v>
      </c>
      <c r="C6" s="32" t="s">
        <v>47</v>
      </c>
      <c r="D6" s="33">
        <v>42</v>
      </c>
      <c r="E6" s="34" t="str">
        <f t="shared" si="0"/>
        <v>🐜 SÍ</v>
      </c>
      <c r="F6" s="35"/>
    </row>
    <row r="7" spans="1:6" ht="19.5" customHeight="1" x14ac:dyDescent="0.25">
      <c r="A7" s="30" t="s">
        <v>76</v>
      </c>
      <c r="B7" s="31" t="s">
        <v>78</v>
      </c>
      <c r="C7" s="32" t="s">
        <v>44</v>
      </c>
      <c r="D7" s="33">
        <v>299</v>
      </c>
      <c r="E7" s="36" t="str">
        <f t="shared" si="0"/>
        <v>⬜ No</v>
      </c>
      <c r="F7" s="37"/>
    </row>
    <row r="8" spans="1:6" ht="19.5" customHeight="1" x14ac:dyDescent="0.25">
      <c r="A8" s="30" t="s">
        <v>79</v>
      </c>
      <c r="B8" s="31" t="s">
        <v>80</v>
      </c>
      <c r="C8" s="32" t="s">
        <v>38</v>
      </c>
      <c r="D8" s="33">
        <v>90</v>
      </c>
      <c r="E8" s="34" t="str">
        <f t="shared" si="0"/>
        <v>🐜 SÍ</v>
      </c>
      <c r="F8" s="35"/>
    </row>
    <row r="9" spans="1:6" ht="19.5" customHeight="1" x14ac:dyDescent="0.25">
      <c r="A9" s="30" t="s">
        <v>81</v>
      </c>
      <c r="B9" s="31" t="s">
        <v>82</v>
      </c>
      <c r="C9" s="32" t="s">
        <v>35</v>
      </c>
      <c r="D9" s="33">
        <v>25</v>
      </c>
      <c r="E9" s="36" t="str">
        <f t="shared" si="0"/>
        <v>🐜 SÍ</v>
      </c>
      <c r="F9" s="37"/>
    </row>
    <row r="10" spans="1:6" ht="19.5" customHeight="1" x14ac:dyDescent="0.25">
      <c r="A10" s="30" t="s">
        <v>83</v>
      </c>
      <c r="B10" s="31" t="s">
        <v>84</v>
      </c>
      <c r="C10" s="32" t="s">
        <v>53</v>
      </c>
      <c r="D10" s="33">
        <v>189</v>
      </c>
      <c r="E10" s="34" t="str">
        <f t="shared" si="0"/>
        <v>🐜 SÍ</v>
      </c>
      <c r="F10" s="35"/>
    </row>
    <row r="11" spans="1:6" ht="19.5" customHeight="1" x14ac:dyDescent="0.25">
      <c r="A11" s="30" t="s">
        <v>85</v>
      </c>
      <c r="B11" s="31" t="s">
        <v>86</v>
      </c>
      <c r="C11" s="32" t="s">
        <v>56</v>
      </c>
      <c r="D11" s="33">
        <v>145</v>
      </c>
      <c r="E11" s="36" t="str">
        <f t="shared" si="0"/>
        <v>🐜 SÍ</v>
      </c>
      <c r="F11" s="37"/>
    </row>
    <row r="12" spans="1:6" ht="19.5" customHeight="1" x14ac:dyDescent="0.25">
      <c r="A12" s="30" t="s">
        <v>87</v>
      </c>
      <c r="B12" s="31" t="s">
        <v>88</v>
      </c>
      <c r="C12" s="32" t="s">
        <v>44</v>
      </c>
      <c r="D12" s="33">
        <v>159</v>
      </c>
      <c r="E12" s="34" t="str">
        <f t="shared" si="0"/>
        <v>🐜 SÍ</v>
      </c>
      <c r="F12" s="35"/>
    </row>
    <row r="13" spans="1:6" ht="19.5" customHeight="1" x14ac:dyDescent="0.25">
      <c r="A13" s="30" t="s">
        <v>89</v>
      </c>
      <c r="B13" s="31" t="s">
        <v>90</v>
      </c>
      <c r="C13" s="32" t="s">
        <v>41</v>
      </c>
      <c r="D13" s="33">
        <v>80</v>
      </c>
      <c r="E13" s="36" t="str">
        <f t="shared" si="0"/>
        <v>🐜 SÍ</v>
      </c>
      <c r="F13" s="37"/>
    </row>
    <row r="14" spans="1:6" ht="19.5" customHeight="1" x14ac:dyDescent="0.25">
      <c r="A14" s="30" t="s">
        <v>91</v>
      </c>
      <c r="B14" s="31" t="s">
        <v>92</v>
      </c>
      <c r="C14" s="32" t="s">
        <v>38</v>
      </c>
      <c r="D14" s="33">
        <v>135</v>
      </c>
      <c r="E14" s="34" t="str">
        <f t="shared" si="0"/>
        <v>🐜 SÍ</v>
      </c>
      <c r="F14" s="35"/>
    </row>
    <row r="15" spans="1:6" ht="19.5" customHeight="1" x14ac:dyDescent="0.25">
      <c r="A15" s="30" t="s">
        <v>93</v>
      </c>
      <c r="B15" s="31" t="s">
        <v>94</v>
      </c>
      <c r="C15" s="32" t="s">
        <v>44</v>
      </c>
      <c r="D15" s="33">
        <v>99</v>
      </c>
      <c r="E15" s="36" t="str">
        <f t="shared" si="0"/>
        <v>🐜 SÍ</v>
      </c>
      <c r="F15" s="37"/>
    </row>
    <row r="16" spans="1:6" ht="19.5" customHeight="1" x14ac:dyDescent="0.25">
      <c r="A16" s="30" t="s">
        <v>95</v>
      </c>
      <c r="B16" s="31" t="s">
        <v>96</v>
      </c>
      <c r="C16" s="32" t="s">
        <v>35</v>
      </c>
      <c r="D16" s="33">
        <v>40</v>
      </c>
      <c r="E16" s="34" t="str">
        <f t="shared" si="0"/>
        <v>🐜 SÍ</v>
      </c>
      <c r="F16" s="35"/>
    </row>
    <row r="17" spans="1:6" ht="19.5" customHeight="1" x14ac:dyDescent="0.25">
      <c r="A17" s="30" t="s">
        <v>97</v>
      </c>
      <c r="B17" s="31" t="s">
        <v>98</v>
      </c>
      <c r="C17" s="32" t="s">
        <v>38</v>
      </c>
      <c r="D17" s="33">
        <v>220</v>
      </c>
      <c r="E17" s="36" t="str">
        <f t="shared" si="0"/>
        <v>⬜ No</v>
      </c>
      <c r="F17" s="37"/>
    </row>
    <row r="18" spans="1:6" ht="19.5" customHeight="1" x14ac:dyDescent="0.25">
      <c r="A18" s="30" t="s">
        <v>99</v>
      </c>
      <c r="B18" s="31" t="s">
        <v>100</v>
      </c>
      <c r="C18" s="32" t="s">
        <v>59</v>
      </c>
      <c r="D18" s="33">
        <v>49</v>
      </c>
      <c r="E18" s="34" t="str">
        <f t="shared" si="0"/>
        <v>🐜 SÍ</v>
      </c>
      <c r="F18" s="35"/>
    </row>
    <row r="19" spans="1:6" ht="19.5" customHeight="1" x14ac:dyDescent="0.25">
      <c r="A19" s="30"/>
      <c r="B19" s="31"/>
      <c r="C19" s="32"/>
      <c r="D19" s="33"/>
      <c r="E19" s="36" t="str">
        <f t="shared" si="0"/>
        <v/>
      </c>
      <c r="F19" s="37"/>
    </row>
    <row r="20" spans="1:6" ht="19.5" customHeight="1" x14ac:dyDescent="0.25">
      <c r="A20" s="30"/>
      <c r="B20" s="31"/>
      <c r="C20" s="32"/>
      <c r="D20" s="33"/>
      <c r="E20" s="34" t="str">
        <f t="shared" si="0"/>
        <v/>
      </c>
      <c r="F20" s="35"/>
    </row>
    <row r="21" spans="1:6" ht="19.5" customHeight="1" x14ac:dyDescent="0.25">
      <c r="A21" s="30"/>
      <c r="B21" s="31"/>
      <c r="C21" s="32"/>
      <c r="D21" s="33"/>
      <c r="E21" s="36" t="str">
        <f t="shared" si="0"/>
        <v/>
      </c>
      <c r="F21" s="37"/>
    </row>
    <row r="22" spans="1:6" ht="19.5" customHeight="1" x14ac:dyDescent="0.25">
      <c r="A22" s="30"/>
      <c r="B22" s="31"/>
      <c r="C22" s="32"/>
      <c r="D22" s="33"/>
      <c r="E22" s="34" t="str">
        <f t="shared" si="0"/>
        <v/>
      </c>
      <c r="F22" s="35"/>
    </row>
    <row r="23" spans="1:6" ht="19.5" customHeight="1" x14ac:dyDescent="0.25">
      <c r="A23" s="30"/>
      <c r="B23" s="31"/>
      <c r="C23" s="32"/>
      <c r="D23" s="33"/>
      <c r="E23" s="36" t="str">
        <f t="shared" si="0"/>
        <v/>
      </c>
      <c r="F23" s="37"/>
    </row>
    <row r="24" spans="1:6" ht="19.5" customHeight="1" x14ac:dyDescent="0.25">
      <c r="A24" s="30"/>
      <c r="B24" s="31"/>
      <c r="C24" s="32"/>
      <c r="D24" s="33"/>
      <c r="E24" s="34" t="str">
        <f t="shared" si="0"/>
        <v/>
      </c>
      <c r="F24" s="35"/>
    </row>
    <row r="25" spans="1:6" ht="19.5" customHeight="1" x14ac:dyDescent="0.25">
      <c r="A25" s="30"/>
      <c r="B25" s="31"/>
      <c r="C25" s="32"/>
      <c r="D25" s="33"/>
      <c r="E25" s="36" t="str">
        <f t="shared" si="0"/>
        <v/>
      </c>
      <c r="F25" s="37"/>
    </row>
    <row r="26" spans="1:6" ht="19.5" customHeight="1" x14ac:dyDescent="0.25">
      <c r="A26" s="30"/>
      <c r="B26" s="31"/>
      <c r="C26" s="32"/>
      <c r="D26" s="33"/>
      <c r="E26" s="34" t="str">
        <f t="shared" si="0"/>
        <v/>
      </c>
      <c r="F26" s="35"/>
    </row>
    <row r="27" spans="1:6" ht="19.5" customHeight="1" x14ac:dyDescent="0.25">
      <c r="A27" s="30"/>
      <c r="B27" s="31"/>
      <c r="C27" s="32"/>
      <c r="D27" s="33"/>
      <c r="E27" s="36" t="str">
        <f t="shared" si="0"/>
        <v/>
      </c>
      <c r="F27" s="37"/>
    </row>
    <row r="28" spans="1:6" ht="19.5" customHeight="1" x14ac:dyDescent="0.25">
      <c r="A28" s="30"/>
      <c r="B28" s="31"/>
      <c r="C28" s="32"/>
      <c r="D28" s="33"/>
      <c r="E28" s="34" t="str">
        <f t="shared" si="0"/>
        <v/>
      </c>
      <c r="F28" s="35"/>
    </row>
    <row r="29" spans="1:6" ht="19.5" customHeight="1" x14ac:dyDescent="0.25">
      <c r="A29" s="30"/>
      <c r="B29" s="31"/>
      <c r="C29" s="32"/>
      <c r="D29" s="33"/>
      <c r="E29" s="36" t="str">
        <f t="shared" si="0"/>
        <v/>
      </c>
      <c r="F29" s="37"/>
    </row>
    <row r="30" spans="1:6" ht="19.5" customHeight="1" x14ac:dyDescent="0.25">
      <c r="A30" s="30"/>
      <c r="B30" s="31"/>
      <c r="C30" s="32"/>
      <c r="D30" s="33"/>
      <c r="E30" s="34" t="str">
        <f t="shared" si="0"/>
        <v/>
      </c>
      <c r="F30" s="35"/>
    </row>
    <row r="31" spans="1:6" ht="19.5" customHeight="1" x14ac:dyDescent="0.25">
      <c r="A31" s="30"/>
      <c r="B31" s="31"/>
      <c r="C31" s="32"/>
      <c r="D31" s="33"/>
      <c r="E31" s="36" t="str">
        <f t="shared" si="0"/>
        <v/>
      </c>
      <c r="F31" s="37"/>
    </row>
    <row r="32" spans="1:6" ht="19.5" customHeight="1" x14ac:dyDescent="0.25">
      <c r="A32" s="30"/>
      <c r="B32" s="31"/>
      <c r="C32" s="32"/>
      <c r="D32" s="33"/>
      <c r="E32" s="34" t="str">
        <f t="shared" si="0"/>
        <v/>
      </c>
      <c r="F32" s="35"/>
    </row>
    <row r="33" spans="1:6" ht="19.5" customHeight="1" x14ac:dyDescent="0.25">
      <c r="A33" s="30"/>
      <c r="B33" s="31"/>
      <c r="C33" s="32"/>
      <c r="D33" s="33"/>
      <c r="E33" s="36" t="str">
        <f t="shared" si="0"/>
        <v/>
      </c>
      <c r="F33" s="37"/>
    </row>
    <row r="34" spans="1:6" ht="19.5" customHeight="1" x14ac:dyDescent="0.25">
      <c r="A34" s="30"/>
      <c r="B34" s="31"/>
      <c r="C34" s="32"/>
      <c r="D34" s="33"/>
      <c r="E34" s="34" t="str">
        <f t="shared" si="0"/>
        <v/>
      </c>
      <c r="F34" s="35"/>
    </row>
    <row r="35" spans="1:6" ht="19.5" customHeight="1" x14ac:dyDescent="0.25">
      <c r="A35" s="30"/>
      <c r="B35" s="31"/>
      <c r="C35" s="32"/>
      <c r="D35" s="33"/>
      <c r="E35" s="36" t="str">
        <f t="shared" si="0"/>
        <v/>
      </c>
      <c r="F35" s="37"/>
    </row>
    <row r="36" spans="1:6" ht="19.5" customHeight="1" x14ac:dyDescent="0.25">
      <c r="A36" s="30"/>
      <c r="B36" s="31"/>
      <c r="C36" s="32"/>
      <c r="D36" s="33"/>
      <c r="E36" s="34" t="str">
        <f t="shared" ref="E36:E67" si="1">IF(D36="","",IF(AND(D36&gt;0,D36&lt;200),"🐜 SÍ","⬜ No"))</f>
        <v/>
      </c>
      <c r="F36" s="35"/>
    </row>
    <row r="37" spans="1:6" ht="19.5" customHeight="1" x14ac:dyDescent="0.25">
      <c r="A37" s="30"/>
      <c r="B37" s="31"/>
      <c r="C37" s="32"/>
      <c r="D37" s="33"/>
      <c r="E37" s="36" t="str">
        <f t="shared" si="1"/>
        <v/>
      </c>
      <c r="F37" s="37"/>
    </row>
    <row r="38" spans="1:6" ht="19.5" customHeight="1" x14ac:dyDescent="0.25">
      <c r="A38" s="30"/>
      <c r="B38" s="31"/>
      <c r="C38" s="32"/>
      <c r="D38" s="33"/>
      <c r="E38" s="34" t="str">
        <f t="shared" si="1"/>
        <v/>
      </c>
      <c r="F38" s="35"/>
    </row>
    <row r="39" spans="1:6" ht="19.5" customHeight="1" x14ac:dyDescent="0.25">
      <c r="A39" s="30"/>
      <c r="B39" s="31"/>
      <c r="C39" s="32"/>
      <c r="D39" s="33"/>
      <c r="E39" s="36" t="str">
        <f t="shared" si="1"/>
        <v/>
      </c>
      <c r="F39" s="37"/>
    </row>
    <row r="40" spans="1:6" ht="19.5" customHeight="1" x14ac:dyDescent="0.25">
      <c r="A40" s="30"/>
      <c r="B40" s="31"/>
      <c r="C40" s="32"/>
      <c r="D40" s="33"/>
      <c r="E40" s="34" t="str">
        <f t="shared" si="1"/>
        <v/>
      </c>
      <c r="F40" s="35"/>
    </row>
    <row r="41" spans="1:6" ht="19.5" customHeight="1" x14ac:dyDescent="0.25">
      <c r="A41" s="30"/>
      <c r="B41" s="31"/>
      <c r="C41" s="32"/>
      <c r="D41" s="33"/>
      <c r="E41" s="36" t="str">
        <f t="shared" si="1"/>
        <v/>
      </c>
      <c r="F41" s="37"/>
    </row>
    <row r="42" spans="1:6" ht="19.5" customHeight="1" x14ac:dyDescent="0.25">
      <c r="A42" s="30"/>
      <c r="B42" s="31"/>
      <c r="C42" s="32"/>
      <c r="D42" s="33"/>
      <c r="E42" s="34" t="str">
        <f t="shared" si="1"/>
        <v/>
      </c>
      <c r="F42" s="35"/>
    </row>
    <row r="43" spans="1:6" ht="19.5" customHeight="1" x14ac:dyDescent="0.25">
      <c r="A43" s="30"/>
      <c r="B43" s="31"/>
      <c r="C43" s="32"/>
      <c r="D43" s="33"/>
      <c r="E43" s="36" t="str">
        <f t="shared" si="1"/>
        <v/>
      </c>
      <c r="F43" s="37"/>
    </row>
    <row r="44" spans="1:6" ht="19.5" customHeight="1" x14ac:dyDescent="0.25">
      <c r="A44" s="30"/>
      <c r="B44" s="31"/>
      <c r="C44" s="32"/>
      <c r="D44" s="33"/>
      <c r="E44" s="34" t="str">
        <f t="shared" si="1"/>
        <v/>
      </c>
      <c r="F44" s="35"/>
    </row>
    <row r="45" spans="1:6" ht="19.5" customHeight="1" x14ac:dyDescent="0.25">
      <c r="A45" s="30"/>
      <c r="B45" s="31"/>
      <c r="C45" s="32"/>
      <c r="D45" s="33"/>
      <c r="E45" s="36" t="str">
        <f t="shared" si="1"/>
        <v/>
      </c>
      <c r="F45" s="37"/>
    </row>
    <row r="46" spans="1:6" ht="19.5" customHeight="1" x14ac:dyDescent="0.25">
      <c r="A46" s="30"/>
      <c r="B46" s="31"/>
      <c r="C46" s="32"/>
      <c r="D46" s="33"/>
      <c r="E46" s="34" t="str">
        <f t="shared" si="1"/>
        <v/>
      </c>
      <c r="F46" s="35"/>
    </row>
    <row r="47" spans="1:6" ht="19.5" customHeight="1" x14ac:dyDescent="0.25">
      <c r="A47" s="30"/>
      <c r="B47" s="31"/>
      <c r="C47" s="32"/>
      <c r="D47" s="33"/>
      <c r="E47" s="36" t="str">
        <f t="shared" si="1"/>
        <v/>
      </c>
      <c r="F47" s="37"/>
    </row>
    <row r="48" spans="1:6" ht="19.5" customHeight="1" x14ac:dyDescent="0.25">
      <c r="A48" s="30"/>
      <c r="B48" s="31"/>
      <c r="C48" s="32"/>
      <c r="D48" s="33"/>
      <c r="E48" s="34" t="str">
        <f t="shared" si="1"/>
        <v/>
      </c>
      <c r="F48" s="35"/>
    </row>
    <row r="49" spans="1:6" ht="19.5" customHeight="1" x14ac:dyDescent="0.25">
      <c r="A49" s="30"/>
      <c r="B49" s="31"/>
      <c r="C49" s="32"/>
      <c r="D49" s="33"/>
      <c r="E49" s="36" t="str">
        <f t="shared" si="1"/>
        <v/>
      </c>
      <c r="F49" s="37"/>
    </row>
    <row r="50" spans="1:6" ht="19.5" customHeight="1" x14ac:dyDescent="0.25">
      <c r="A50" s="30"/>
      <c r="B50" s="31"/>
      <c r="C50" s="32"/>
      <c r="D50" s="33"/>
      <c r="E50" s="34" t="str">
        <f t="shared" si="1"/>
        <v/>
      </c>
      <c r="F50" s="35"/>
    </row>
    <row r="51" spans="1:6" ht="19.5" customHeight="1" x14ac:dyDescent="0.25">
      <c r="A51" s="30"/>
      <c r="B51" s="31"/>
      <c r="C51" s="32"/>
      <c r="D51" s="33"/>
      <c r="E51" s="36" t="str">
        <f t="shared" si="1"/>
        <v/>
      </c>
      <c r="F51" s="37"/>
    </row>
    <row r="52" spans="1:6" ht="19.5" customHeight="1" x14ac:dyDescent="0.25">
      <c r="A52" s="30"/>
      <c r="B52" s="31"/>
      <c r="C52" s="32"/>
      <c r="D52" s="33"/>
      <c r="E52" s="34" t="str">
        <f t="shared" si="1"/>
        <v/>
      </c>
      <c r="F52" s="35"/>
    </row>
    <row r="53" spans="1:6" ht="19.5" customHeight="1" x14ac:dyDescent="0.25">
      <c r="A53" s="30"/>
      <c r="B53" s="31"/>
      <c r="C53" s="32"/>
      <c r="D53" s="33"/>
      <c r="E53" s="36" t="str">
        <f t="shared" si="1"/>
        <v/>
      </c>
      <c r="F53" s="37"/>
    </row>
    <row r="54" spans="1:6" ht="19.5" customHeight="1" x14ac:dyDescent="0.25">
      <c r="A54" s="30"/>
      <c r="B54" s="31"/>
      <c r="C54" s="32"/>
      <c r="D54" s="33"/>
      <c r="E54" s="34" t="str">
        <f t="shared" si="1"/>
        <v/>
      </c>
      <c r="F54" s="35"/>
    </row>
    <row r="55" spans="1:6" ht="19.5" customHeight="1" x14ac:dyDescent="0.25">
      <c r="A55" s="30"/>
      <c r="B55" s="31"/>
      <c r="C55" s="32"/>
      <c r="D55" s="33"/>
      <c r="E55" s="36" t="str">
        <f t="shared" si="1"/>
        <v/>
      </c>
      <c r="F55" s="37"/>
    </row>
    <row r="56" spans="1:6" ht="19.5" customHeight="1" x14ac:dyDescent="0.25">
      <c r="A56" s="30"/>
      <c r="B56" s="31"/>
      <c r="C56" s="32"/>
      <c r="D56" s="33"/>
      <c r="E56" s="34" t="str">
        <f t="shared" si="1"/>
        <v/>
      </c>
      <c r="F56" s="35"/>
    </row>
    <row r="57" spans="1:6" ht="19.5" customHeight="1" x14ac:dyDescent="0.25">
      <c r="A57" s="30"/>
      <c r="B57" s="31"/>
      <c r="C57" s="32"/>
      <c r="D57" s="33"/>
      <c r="E57" s="36" t="str">
        <f t="shared" si="1"/>
        <v/>
      </c>
      <c r="F57" s="37"/>
    </row>
    <row r="58" spans="1:6" ht="19.5" customHeight="1" x14ac:dyDescent="0.25">
      <c r="A58" s="30"/>
      <c r="B58" s="31"/>
      <c r="C58" s="32"/>
      <c r="D58" s="33"/>
      <c r="E58" s="34" t="str">
        <f t="shared" si="1"/>
        <v/>
      </c>
      <c r="F58" s="35"/>
    </row>
    <row r="59" spans="1:6" ht="19.5" customHeight="1" x14ac:dyDescent="0.25">
      <c r="A59" s="30"/>
      <c r="B59" s="31"/>
      <c r="C59" s="32"/>
      <c r="D59" s="33"/>
      <c r="E59" s="36" t="str">
        <f t="shared" si="1"/>
        <v/>
      </c>
      <c r="F59" s="37"/>
    </row>
    <row r="60" spans="1:6" ht="19.5" customHeight="1" x14ac:dyDescent="0.25">
      <c r="A60" s="30"/>
      <c r="B60" s="31"/>
      <c r="C60" s="32"/>
      <c r="D60" s="33"/>
      <c r="E60" s="34" t="str">
        <f t="shared" si="1"/>
        <v/>
      </c>
      <c r="F60" s="35"/>
    </row>
    <row r="61" spans="1:6" ht="19.5" customHeight="1" x14ac:dyDescent="0.25">
      <c r="A61" s="30"/>
      <c r="B61" s="31"/>
      <c r="C61" s="32"/>
      <c r="D61" s="33"/>
      <c r="E61" s="36" t="str">
        <f t="shared" si="1"/>
        <v/>
      </c>
      <c r="F61" s="37"/>
    </row>
    <row r="62" spans="1:6" ht="19.5" customHeight="1" x14ac:dyDescent="0.25">
      <c r="A62" s="30"/>
      <c r="B62" s="31"/>
      <c r="C62" s="32"/>
      <c r="D62" s="33"/>
      <c r="E62" s="34" t="str">
        <f t="shared" si="1"/>
        <v/>
      </c>
      <c r="F62" s="35"/>
    </row>
    <row r="63" spans="1:6" ht="19.5" customHeight="1" x14ac:dyDescent="0.25">
      <c r="A63" s="30"/>
      <c r="B63" s="31"/>
      <c r="C63" s="32"/>
      <c r="D63" s="33"/>
      <c r="E63" s="36" t="str">
        <f t="shared" si="1"/>
        <v/>
      </c>
      <c r="F63" s="37"/>
    </row>
    <row r="64" spans="1:6" ht="24" customHeight="1" x14ac:dyDescent="0.25">
      <c r="A64" s="73" t="s">
        <v>101</v>
      </c>
      <c r="B64" s="73"/>
      <c r="C64" s="73"/>
      <c r="D64" s="38">
        <f>SUM(D4:D63)</f>
        <v>1722</v>
      </c>
      <c r="E64" s="12" t="str">
        <f>COUNTIF(E4:E63,"🐜 SÍ")&amp;" gastos hormiga detectados"</f>
        <v>13 gastos hormiga detectados</v>
      </c>
      <c r="F64" s="12"/>
    </row>
  </sheetData>
  <mergeCells count="4">
    <mergeCell ref="A1:F1"/>
    <mergeCell ref="A2:F2"/>
    <mergeCell ref="A64:C64"/>
    <mergeCell ref="E64:F64"/>
  </mergeCells>
  <conditionalFormatting sqref="A4:F63">
    <cfRule type="expression" dxfId="0" priority="2">
      <formula>$E4="🐜 SÍ"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6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28" customWidth="1"/>
    <col min="3" max="7" width="18" customWidth="1"/>
    <col min="8" max="8" width="3" customWidth="1"/>
  </cols>
  <sheetData>
    <row r="2" spans="2:7" ht="36" customHeight="1" x14ac:dyDescent="0.25">
      <c r="B2" s="3" t="s">
        <v>102</v>
      </c>
      <c r="C2" s="3"/>
      <c r="D2" s="3"/>
      <c r="E2" s="3"/>
      <c r="F2" s="3"/>
      <c r="G2" s="3"/>
    </row>
    <row r="3" spans="2:7" ht="18" customHeight="1" x14ac:dyDescent="0.25">
      <c r="B3" s="2" t="s">
        <v>103</v>
      </c>
      <c r="C3" s="2"/>
      <c r="D3" s="2"/>
      <c r="E3" s="2"/>
      <c r="F3" s="2"/>
      <c r="G3" s="2"/>
    </row>
    <row r="5" spans="2:7" ht="19.5" customHeight="1" x14ac:dyDescent="0.25">
      <c r="B5" s="74" t="s">
        <v>104</v>
      </c>
      <c r="C5" s="74"/>
      <c r="D5" s="74"/>
      <c r="E5" s="74"/>
      <c r="F5" s="74"/>
      <c r="G5" s="74"/>
    </row>
    <row r="6" spans="2:7" ht="21.75" customHeight="1" x14ac:dyDescent="0.25">
      <c r="B6" s="39" t="s">
        <v>105</v>
      </c>
      <c r="G6" s="40">
        <f>'⚙️ Config'!C8</f>
        <v>15000</v>
      </c>
    </row>
    <row r="7" spans="2:7" ht="21.75" customHeight="1" x14ac:dyDescent="0.25">
      <c r="B7" s="41" t="s">
        <v>106</v>
      </c>
      <c r="G7" s="42">
        <f>'📋 Gastos Diarios'!D64</f>
        <v>1722</v>
      </c>
    </row>
    <row r="8" spans="2:7" ht="21.75" customHeight="1" x14ac:dyDescent="0.25">
      <c r="B8" s="39" t="s">
        <v>107</v>
      </c>
      <c r="G8" s="40">
        <f>SUMIF('📋 Gastos Diarios'!E4:E63,"🐜 SÍ",'📋 Gastos Diarios'!D4:D63)</f>
        <v>1203</v>
      </c>
    </row>
    <row r="9" spans="2:7" ht="21.75" customHeight="1" x14ac:dyDescent="0.25">
      <c r="B9" s="41" t="s">
        <v>108</v>
      </c>
      <c r="G9" s="43">
        <f>IF('⚙️ Config'!C8=0,0,G8/'⚙️ Config'!C8)</f>
        <v>8.0199999999999994E-2</v>
      </c>
    </row>
    <row r="10" spans="2:7" ht="21.75" customHeight="1" x14ac:dyDescent="0.25">
      <c r="B10" s="39" t="s">
        <v>109</v>
      </c>
      <c r="G10" s="40">
        <f>'⚙️ Config'!C9</f>
        <v>2000</v>
      </c>
    </row>
    <row r="11" spans="2:7" ht="21.75" customHeight="1" x14ac:dyDescent="0.25">
      <c r="B11" s="41" t="s">
        <v>110</v>
      </c>
      <c r="G11" s="44" t="str">
        <f>IF('⚙️ Config'!C8-G7&gt;='⚙️ Config'!C9,"✅ SÍ","❌ No aún")</f>
        <v>✅ SÍ</v>
      </c>
    </row>
    <row r="14" spans="2:7" ht="19.5" customHeight="1" x14ac:dyDescent="0.25">
      <c r="B14" s="75" t="s">
        <v>111</v>
      </c>
      <c r="C14" s="75"/>
      <c r="D14" s="75"/>
      <c r="E14" s="75"/>
      <c r="F14" s="75"/>
      <c r="G14" s="75"/>
    </row>
    <row r="15" spans="2:7" x14ac:dyDescent="0.25">
      <c r="B15" s="20" t="s">
        <v>112</v>
      </c>
      <c r="C15" s="20" t="s">
        <v>113</v>
      </c>
      <c r="D15" s="20" t="s">
        <v>114</v>
      </c>
      <c r="E15" s="20" t="s">
        <v>115</v>
      </c>
      <c r="F15" s="20" t="s">
        <v>116</v>
      </c>
      <c r="G15" s="20" t="s">
        <v>117</v>
      </c>
    </row>
    <row r="16" spans="2:7" ht="21.75" customHeight="1" x14ac:dyDescent="0.25">
      <c r="B16" s="39" t="str">
        <f>'⚙️ Config'!C13</f>
        <v>Cafeterías y bebidas</v>
      </c>
      <c r="C16" s="45">
        <f>SUMIF('📋 Gastos Diarios'!C4:C63,'⚙️ Config'!C13,'📋 Gastos Diarios'!D4:D63)</f>
        <v>150</v>
      </c>
      <c r="D16" s="45">
        <f>'⚙️ Config'!D13</f>
        <v>800</v>
      </c>
      <c r="E16" s="46">
        <f t="shared" ref="E16:E25" si="0">D16-C16</f>
        <v>650</v>
      </c>
      <c r="F16" s="47">
        <f>IF(G7=0,0,C16/G7)</f>
        <v>8.7108013937282236E-2</v>
      </c>
      <c r="G16" s="34" t="str">
        <f t="shared" ref="G16:G25" si="1">IF(C16=0,"⬜ Sin gastos",IF(C16&gt;D16,"🔴 Excedido","✅ OK"))</f>
        <v>✅ OK</v>
      </c>
    </row>
    <row r="17" spans="2:7" ht="21.75" customHeight="1" x14ac:dyDescent="0.25">
      <c r="B17" s="41" t="str">
        <f>'⚙️ Config'!C14</f>
        <v>Comida rápida / antojitos</v>
      </c>
      <c r="C17" s="48">
        <f>SUMIF('📋 Gastos Diarios'!C4:C63,'⚙️ Config'!C14,'📋 Gastos Diarios'!D4:D63)</f>
        <v>445</v>
      </c>
      <c r="D17" s="48">
        <f>'⚙️ Config'!D14</f>
        <v>1000</v>
      </c>
      <c r="E17" s="49">
        <f t="shared" si="0"/>
        <v>555</v>
      </c>
      <c r="F17" s="50">
        <f>IF(G7=0,0,C17/G7)</f>
        <v>0.2584204413472706</v>
      </c>
      <c r="G17" s="36" t="str">
        <f t="shared" si="1"/>
        <v>✅ OK</v>
      </c>
    </row>
    <row r="18" spans="2:7" ht="21.75" customHeight="1" x14ac:dyDescent="0.25">
      <c r="B18" s="39" t="str">
        <f>'⚙️ Config'!C15</f>
        <v>Cigarros / vapeadores</v>
      </c>
      <c r="C18" s="45">
        <f>SUMIF('📋 Gastos Diarios'!C4:C63,'⚙️ Config'!C15,'📋 Gastos Diarios'!D4:D63)</f>
        <v>80</v>
      </c>
      <c r="D18" s="45">
        <f>'⚙️ Config'!D15</f>
        <v>500</v>
      </c>
      <c r="E18" s="46">
        <f t="shared" si="0"/>
        <v>420</v>
      </c>
      <c r="F18" s="47">
        <f>IF(G7=0,0,C18/G7)</f>
        <v>4.6457607433217189E-2</v>
      </c>
      <c r="G18" s="34" t="str">
        <f t="shared" si="1"/>
        <v>✅ OK</v>
      </c>
    </row>
    <row r="19" spans="2:7" ht="21.75" customHeight="1" x14ac:dyDescent="0.25">
      <c r="B19" s="41" t="str">
        <f>'⚙️ Config'!C16</f>
        <v>Apps y suscripciones</v>
      </c>
      <c r="C19" s="48">
        <f>SUMIF('📋 Gastos Diarios'!C4:C63,'⚙️ Config'!C16,'📋 Gastos Diarios'!D4:D63)</f>
        <v>557</v>
      </c>
      <c r="D19" s="48">
        <f>'⚙️ Config'!D16</f>
        <v>400</v>
      </c>
      <c r="E19" s="49">
        <f t="shared" si="0"/>
        <v>-157</v>
      </c>
      <c r="F19" s="50">
        <f>IF(G7=0,0,C19/G7)</f>
        <v>0.32346109175377469</v>
      </c>
      <c r="G19" s="36" t="str">
        <f t="shared" si="1"/>
        <v>🔴 Excedido</v>
      </c>
    </row>
    <row r="20" spans="2:7" ht="21.75" customHeight="1" x14ac:dyDescent="0.25">
      <c r="B20" s="39" t="str">
        <f>'⚙️ Config'!C17</f>
        <v>Snacks y dulcerías</v>
      </c>
      <c r="C20" s="45">
        <f>SUMIF('📋 Gastos Diarios'!C4:C63,'⚙️ Config'!C17,'📋 Gastos Diarios'!D4:D63)</f>
        <v>42</v>
      </c>
      <c r="D20" s="45">
        <f>'⚙️ Config'!D17</f>
        <v>350</v>
      </c>
      <c r="E20" s="46">
        <f t="shared" si="0"/>
        <v>308</v>
      </c>
      <c r="F20" s="47">
        <f>IF(G7=0,0,C20/G7)</f>
        <v>2.4390243902439025E-2</v>
      </c>
      <c r="G20" s="34" t="str">
        <f t="shared" si="1"/>
        <v>✅ OK</v>
      </c>
    </row>
    <row r="21" spans="2:7" ht="21.75" customHeight="1" x14ac:dyDescent="0.25">
      <c r="B21" s="41" t="str">
        <f>'⚙️ Config'!C18</f>
        <v>Taxis y rides extra</v>
      </c>
      <c r="C21" s="48">
        <f>SUMIF('📋 Gastos Diarios'!C4:C63,'⚙️ Config'!C18,'📋 Gastos Diarios'!D4:D63)</f>
        <v>65</v>
      </c>
      <c r="D21" s="48">
        <f>'⚙️ Config'!D18</f>
        <v>600</v>
      </c>
      <c r="E21" s="49">
        <f t="shared" si="0"/>
        <v>535</v>
      </c>
      <c r="F21" s="50">
        <f>IF(G7=0,0,C21/G7)</f>
        <v>3.7746806039488968E-2</v>
      </c>
      <c r="G21" s="36" t="str">
        <f t="shared" si="1"/>
        <v>✅ OK</v>
      </c>
    </row>
    <row r="22" spans="2:7" ht="21.75" customHeight="1" x14ac:dyDescent="0.25">
      <c r="B22" s="39" t="str">
        <f>'⚙️ Config'!C19</f>
        <v>Compras de impulso online</v>
      </c>
      <c r="C22" s="45">
        <f>SUMIF('📋 Gastos Diarios'!C4:C63,'⚙️ Config'!C19,'📋 Gastos Diarios'!D4:D63)</f>
        <v>189</v>
      </c>
      <c r="D22" s="45">
        <f>'⚙️ Config'!D19</f>
        <v>700</v>
      </c>
      <c r="E22" s="46">
        <f t="shared" si="0"/>
        <v>511</v>
      </c>
      <c r="F22" s="47">
        <f>IF(G7=0,0,C22/G7)</f>
        <v>0.10975609756097561</v>
      </c>
      <c r="G22" s="34" t="str">
        <f t="shared" si="1"/>
        <v>✅ OK</v>
      </c>
    </row>
    <row r="23" spans="2:7" ht="21.75" customHeight="1" x14ac:dyDescent="0.25">
      <c r="B23" s="41" t="str">
        <f>'⚙️ Config'!C20</f>
        <v>Farmacia y salud menor</v>
      </c>
      <c r="C23" s="48">
        <f>SUMIF('📋 Gastos Diarios'!C4:C63,'⚙️ Config'!C20,'📋 Gastos Diarios'!D4:D63)</f>
        <v>145</v>
      </c>
      <c r="D23" s="48">
        <f>'⚙️ Config'!D20</f>
        <v>300</v>
      </c>
      <c r="E23" s="49">
        <f t="shared" si="0"/>
        <v>155</v>
      </c>
      <c r="F23" s="50">
        <f>IF(G7=0,0,C23/G7)</f>
        <v>8.4204413472706158E-2</v>
      </c>
      <c r="G23" s="36" t="str">
        <f t="shared" si="1"/>
        <v>✅ OK</v>
      </c>
    </row>
    <row r="24" spans="2:7" ht="21.75" customHeight="1" x14ac:dyDescent="0.25">
      <c r="B24" s="39" t="str">
        <f>'⚙️ Config'!C21</f>
        <v>Entretenimiento y ocio</v>
      </c>
      <c r="C24" s="45">
        <f>SUMIF('📋 Gastos Diarios'!C4:C63,'⚙️ Config'!C21,'📋 Gastos Diarios'!D4:D63)</f>
        <v>49</v>
      </c>
      <c r="D24" s="45">
        <f>'⚙️ Config'!D21</f>
        <v>800</v>
      </c>
      <c r="E24" s="46">
        <f t="shared" si="0"/>
        <v>751</v>
      </c>
      <c r="F24" s="47">
        <f>IF(G7=0,0,C24/G7)</f>
        <v>2.8455284552845527E-2</v>
      </c>
      <c r="G24" s="34" t="str">
        <f t="shared" si="1"/>
        <v>✅ OK</v>
      </c>
    </row>
    <row r="25" spans="2:7" ht="21.75" customHeight="1" x14ac:dyDescent="0.25">
      <c r="B25" s="41" t="str">
        <f>'⚙️ Config'!C22</f>
        <v>Otros gastos pequeños</v>
      </c>
      <c r="C25" s="48">
        <f>SUMIF('📋 Gastos Diarios'!C4:C63,'⚙️ Config'!C22,'📋 Gastos Diarios'!D4:D63)</f>
        <v>0</v>
      </c>
      <c r="D25" s="48">
        <f>'⚙️ Config'!D22</f>
        <v>500</v>
      </c>
      <c r="E25" s="49">
        <f t="shared" si="0"/>
        <v>500</v>
      </c>
      <c r="F25" s="50">
        <f>IF(G7=0,0,C25/G7)</f>
        <v>0</v>
      </c>
      <c r="G25" s="36" t="str">
        <f t="shared" si="1"/>
        <v>⬜ Sin gastos</v>
      </c>
    </row>
    <row r="26" spans="2:7" ht="21.75" customHeight="1" x14ac:dyDescent="0.25">
      <c r="B26" s="51" t="s">
        <v>118</v>
      </c>
      <c r="C26" s="52">
        <f>SUM(C16:C25)</f>
        <v>1722</v>
      </c>
      <c r="D26" s="52">
        <f>SUM(D16:D25)</f>
        <v>5950</v>
      </c>
    </row>
  </sheetData>
  <mergeCells count="4">
    <mergeCell ref="B2:G2"/>
    <mergeCell ref="B3:G3"/>
    <mergeCell ref="B5:G5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4"/>
  <sheetViews>
    <sheetView showGridLines="0" zoomScaleNormal="100" workbookViewId="0">
      <selection activeCell="J12" sqref="J11:J12"/>
    </sheetView>
  </sheetViews>
  <sheetFormatPr baseColWidth="10" defaultColWidth="8.7109375" defaultRowHeight="15" x14ac:dyDescent="0.25"/>
  <cols>
    <col min="1" max="1" width="3" customWidth="1"/>
    <col min="2" max="2" width="28" customWidth="1"/>
    <col min="3" max="6" width="20" customWidth="1"/>
    <col min="7" max="7" width="3" customWidth="1"/>
  </cols>
  <sheetData>
    <row r="2" spans="2:6" ht="36" customHeight="1" x14ac:dyDescent="0.25">
      <c r="B2" s="3" t="s">
        <v>119</v>
      </c>
      <c r="C2" s="3"/>
      <c r="D2" s="3"/>
      <c r="E2" s="3"/>
      <c r="F2" s="3"/>
    </row>
    <row r="4" spans="2:6" ht="19.5" customHeight="1" x14ac:dyDescent="0.25">
      <c r="B4" s="74" t="s">
        <v>120</v>
      </c>
      <c r="C4" s="74"/>
      <c r="D4" s="74"/>
      <c r="E4" s="74"/>
      <c r="F4" s="74"/>
    </row>
    <row r="5" spans="2:6" ht="21.75" customHeight="1" x14ac:dyDescent="0.25">
      <c r="B5" s="53" t="s">
        <v>121</v>
      </c>
      <c r="C5" s="76">
        <f>'⚙️ Config'!C8</f>
        <v>15000</v>
      </c>
      <c r="D5" s="76"/>
      <c r="E5" s="76"/>
      <c r="F5" s="76"/>
    </row>
    <row r="6" spans="2:6" ht="21.75" customHeight="1" x14ac:dyDescent="0.25">
      <c r="B6" s="54" t="s">
        <v>122</v>
      </c>
      <c r="C6" s="77">
        <f>'📋 Gastos Diarios'!D64</f>
        <v>1722</v>
      </c>
      <c r="D6" s="77"/>
      <c r="E6" s="77"/>
      <c r="F6" s="77"/>
    </row>
    <row r="7" spans="2:6" ht="21.75" customHeight="1" x14ac:dyDescent="0.25">
      <c r="B7" s="53" t="s">
        <v>123</v>
      </c>
      <c r="C7" s="76">
        <f>SUMIF('📋 Gastos Diarios'!E4:E63,"🐜 SÍ",'📋 Gastos Diarios'!D4:D63)</f>
        <v>1203</v>
      </c>
      <c r="D7" s="76"/>
      <c r="E7" s="76"/>
      <c r="F7" s="76"/>
    </row>
    <row r="8" spans="2:6" ht="21.75" customHeight="1" x14ac:dyDescent="0.25">
      <c r="B8" s="55" t="s">
        <v>124</v>
      </c>
      <c r="C8" s="78">
        <f>'⚙️ Config'!C8-'📋 Gastos Diarios'!D64</f>
        <v>13278</v>
      </c>
      <c r="D8" s="78"/>
      <c r="E8" s="78"/>
      <c r="F8" s="78"/>
    </row>
    <row r="9" spans="2:6" ht="21.75" customHeight="1" x14ac:dyDescent="0.25">
      <c r="B9" s="53" t="s">
        <v>125</v>
      </c>
      <c r="C9" s="76">
        <f>'⚙️ Config'!C9</f>
        <v>2000</v>
      </c>
      <c r="D9" s="76"/>
      <c r="E9" s="76"/>
      <c r="F9" s="76"/>
    </row>
    <row r="10" spans="2:6" ht="21.75" customHeight="1" x14ac:dyDescent="0.25">
      <c r="B10" s="55" t="s">
        <v>126</v>
      </c>
      <c r="C10" s="79">
        <f>'⚙️ Config'!C8-'📋 Gastos Diarios'!D64-'⚙️ Config'!C9</f>
        <v>11278</v>
      </c>
      <c r="D10" s="79"/>
      <c r="E10" s="79"/>
      <c r="F10" s="79"/>
    </row>
    <row r="13" spans="2:6" ht="19.5" customHeight="1" x14ac:dyDescent="0.25">
      <c r="B13" s="75" t="s">
        <v>127</v>
      </c>
      <c r="C13" s="75"/>
      <c r="D13" s="75"/>
      <c r="E13" s="75"/>
      <c r="F13" s="75"/>
    </row>
    <row r="14" spans="2:6" x14ac:dyDescent="0.25">
      <c r="B14" s="20" t="s">
        <v>112</v>
      </c>
      <c r="C14" s="20" t="s">
        <v>128</v>
      </c>
      <c r="D14" s="20" t="s">
        <v>129</v>
      </c>
      <c r="E14" s="20" t="s">
        <v>130</v>
      </c>
      <c r="F14" s="20" t="s">
        <v>131</v>
      </c>
    </row>
    <row r="15" spans="2:6" ht="19.5" customHeight="1" x14ac:dyDescent="0.25">
      <c r="B15" s="53" t="str">
        <f>'🔍 Detector Hormiga'!B16</f>
        <v>Cafeterías y bebidas</v>
      </c>
      <c r="C15" s="45">
        <f>'🔍 Detector Hormiga'!C16</f>
        <v>150</v>
      </c>
      <c r="D15" s="45">
        <f>'🔍 Detector Hormiga'!D16</f>
        <v>800</v>
      </c>
      <c r="E15" s="56">
        <f t="shared" ref="E15:E24" si="0">IF(D15=0,0,C15/D15)</f>
        <v>0.1875</v>
      </c>
      <c r="F15" s="34" t="str">
        <f t="shared" ref="F15:F24" si="1">IF(C15=0,"—",IF(C15/MAX(D15,1)&gt;=1,"🔴 EXCEDIDO",IF(C15/MAX(D15,1)&gt;=0.8,"🟡 Cuidado","🟢 Bien")))</f>
        <v>🟢 Bien</v>
      </c>
    </row>
    <row r="16" spans="2:6" ht="19.5" customHeight="1" x14ac:dyDescent="0.25">
      <c r="B16" s="54" t="str">
        <f>'🔍 Detector Hormiga'!B17</f>
        <v>Comida rápida / antojitos</v>
      </c>
      <c r="C16" s="48">
        <f>'🔍 Detector Hormiga'!C17</f>
        <v>445</v>
      </c>
      <c r="D16" s="48">
        <f>'🔍 Detector Hormiga'!D17</f>
        <v>1000</v>
      </c>
      <c r="E16" s="57">
        <f t="shared" si="0"/>
        <v>0.44500000000000001</v>
      </c>
      <c r="F16" s="36" t="str">
        <f t="shared" si="1"/>
        <v>🟢 Bien</v>
      </c>
    </row>
    <row r="17" spans="2:6" ht="19.5" customHeight="1" x14ac:dyDescent="0.25">
      <c r="B17" s="53" t="str">
        <f>'🔍 Detector Hormiga'!B18</f>
        <v>Cigarros / vapeadores</v>
      </c>
      <c r="C17" s="45">
        <f>'🔍 Detector Hormiga'!C18</f>
        <v>80</v>
      </c>
      <c r="D17" s="45">
        <f>'🔍 Detector Hormiga'!D18</f>
        <v>500</v>
      </c>
      <c r="E17" s="56">
        <f t="shared" si="0"/>
        <v>0.16</v>
      </c>
      <c r="F17" s="34" t="str">
        <f t="shared" si="1"/>
        <v>🟢 Bien</v>
      </c>
    </row>
    <row r="18" spans="2:6" ht="19.5" customHeight="1" x14ac:dyDescent="0.25">
      <c r="B18" s="54" t="str">
        <f>'🔍 Detector Hormiga'!B19</f>
        <v>Apps y suscripciones</v>
      </c>
      <c r="C18" s="48">
        <f>'🔍 Detector Hormiga'!C19</f>
        <v>557</v>
      </c>
      <c r="D18" s="48">
        <f>'🔍 Detector Hormiga'!D19</f>
        <v>400</v>
      </c>
      <c r="E18" s="57">
        <f t="shared" si="0"/>
        <v>1.3925000000000001</v>
      </c>
      <c r="F18" s="36" t="str">
        <f t="shared" si="1"/>
        <v>🔴 EXCEDIDO</v>
      </c>
    </row>
    <row r="19" spans="2:6" ht="19.5" customHeight="1" x14ac:dyDescent="0.25">
      <c r="B19" s="53" t="str">
        <f>'🔍 Detector Hormiga'!B20</f>
        <v>Snacks y dulcerías</v>
      </c>
      <c r="C19" s="45">
        <f>'🔍 Detector Hormiga'!C20</f>
        <v>42</v>
      </c>
      <c r="D19" s="45">
        <f>'🔍 Detector Hormiga'!D20</f>
        <v>350</v>
      </c>
      <c r="E19" s="56">
        <f t="shared" si="0"/>
        <v>0.12</v>
      </c>
      <c r="F19" s="34" t="str">
        <f t="shared" si="1"/>
        <v>🟢 Bien</v>
      </c>
    </row>
    <row r="20" spans="2:6" ht="19.5" customHeight="1" x14ac:dyDescent="0.25">
      <c r="B20" s="54" t="str">
        <f>'🔍 Detector Hormiga'!B21</f>
        <v>Taxis y rides extra</v>
      </c>
      <c r="C20" s="48">
        <f>'🔍 Detector Hormiga'!C21</f>
        <v>65</v>
      </c>
      <c r="D20" s="48">
        <f>'🔍 Detector Hormiga'!D21</f>
        <v>600</v>
      </c>
      <c r="E20" s="57">
        <f t="shared" si="0"/>
        <v>0.10833333333333334</v>
      </c>
      <c r="F20" s="36" t="str">
        <f t="shared" si="1"/>
        <v>🟢 Bien</v>
      </c>
    </row>
    <row r="21" spans="2:6" ht="19.5" customHeight="1" x14ac:dyDescent="0.25">
      <c r="B21" s="53" t="str">
        <f>'🔍 Detector Hormiga'!B22</f>
        <v>Compras de impulso online</v>
      </c>
      <c r="C21" s="45">
        <f>'🔍 Detector Hormiga'!C22</f>
        <v>189</v>
      </c>
      <c r="D21" s="45">
        <f>'🔍 Detector Hormiga'!D22</f>
        <v>700</v>
      </c>
      <c r="E21" s="56">
        <f t="shared" si="0"/>
        <v>0.27</v>
      </c>
      <c r="F21" s="34" t="str">
        <f t="shared" si="1"/>
        <v>🟢 Bien</v>
      </c>
    </row>
    <row r="22" spans="2:6" ht="19.5" customHeight="1" x14ac:dyDescent="0.25">
      <c r="B22" s="54" t="str">
        <f>'🔍 Detector Hormiga'!B23</f>
        <v>Farmacia y salud menor</v>
      </c>
      <c r="C22" s="48">
        <f>'🔍 Detector Hormiga'!C23</f>
        <v>145</v>
      </c>
      <c r="D22" s="48">
        <f>'🔍 Detector Hormiga'!D23</f>
        <v>300</v>
      </c>
      <c r="E22" s="57">
        <f t="shared" si="0"/>
        <v>0.48333333333333334</v>
      </c>
      <c r="F22" s="36" t="str">
        <f t="shared" si="1"/>
        <v>🟢 Bien</v>
      </c>
    </row>
    <row r="23" spans="2:6" ht="19.5" customHeight="1" x14ac:dyDescent="0.25">
      <c r="B23" s="53" t="str">
        <f>'🔍 Detector Hormiga'!B24</f>
        <v>Entretenimiento y ocio</v>
      </c>
      <c r="C23" s="45">
        <f>'🔍 Detector Hormiga'!C24</f>
        <v>49</v>
      </c>
      <c r="D23" s="45">
        <f>'🔍 Detector Hormiga'!D24</f>
        <v>800</v>
      </c>
      <c r="E23" s="56">
        <f t="shared" si="0"/>
        <v>6.1249999999999999E-2</v>
      </c>
      <c r="F23" s="34" t="str">
        <f t="shared" si="1"/>
        <v>🟢 Bien</v>
      </c>
    </row>
    <row r="24" spans="2:6" ht="19.5" customHeight="1" x14ac:dyDescent="0.25">
      <c r="B24" s="54" t="str">
        <f>'🔍 Detector Hormiga'!B25</f>
        <v>Otros gastos pequeños</v>
      </c>
      <c r="C24" s="48">
        <f>'🔍 Detector Hormiga'!C25</f>
        <v>0</v>
      </c>
      <c r="D24" s="48">
        <f>'🔍 Detector Hormiga'!D25</f>
        <v>500</v>
      </c>
      <c r="E24" s="57">
        <f t="shared" si="0"/>
        <v>0</v>
      </c>
      <c r="F24" s="36" t="str">
        <f t="shared" si="1"/>
        <v>—</v>
      </c>
    </row>
  </sheetData>
  <mergeCells count="9">
    <mergeCell ref="C8:F8"/>
    <mergeCell ref="C9:F9"/>
    <mergeCell ref="C10:F10"/>
    <mergeCell ref="B13:F13"/>
    <mergeCell ref="B2:F2"/>
    <mergeCell ref="B4:F4"/>
    <mergeCell ref="C5:F5"/>
    <mergeCell ref="C6:F6"/>
    <mergeCell ref="C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8"/>
  <sheetViews>
    <sheetView showGridLines="0" zoomScaleNormal="100" workbookViewId="0">
      <selection activeCell="H23" sqref="H22:H23"/>
    </sheetView>
  </sheetViews>
  <sheetFormatPr baseColWidth="10" defaultColWidth="8.7109375" defaultRowHeight="15" x14ac:dyDescent="0.25"/>
  <cols>
    <col min="1" max="1" width="3" customWidth="1"/>
    <col min="2" max="2" width="29.5703125" bestFit="1" customWidth="1"/>
    <col min="3" max="3" width="15.7109375" bestFit="1" customWidth="1"/>
    <col min="4" max="4" width="16.85546875" bestFit="1" customWidth="1"/>
    <col min="5" max="5" width="14" bestFit="1" customWidth="1"/>
    <col min="6" max="6" width="11.42578125" bestFit="1" customWidth="1"/>
    <col min="7" max="7" width="23.85546875" bestFit="1" customWidth="1"/>
    <col min="8" max="8" width="23.42578125" bestFit="1" customWidth="1"/>
  </cols>
  <sheetData>
    <row r="2" spans="2:8" ht="36" customHeight="1" x14ac:dyDescent="0.25">
      <c r="B2" s="3" t="s">
        <v>132</v>
      </c>
      <c r="C2" s="3"/>
      <c r="D2" s="3"/>
      <c r="E2" s="3"/>
      <c r="F2" s="3"/>
      <c r="G2" s="3"/>
    </row>
    <row r="3" spans="2:8" ht="18" customHeight="1" x14ac:dyDescent="0.25">
      <c r="B3" s="2" t="s">
        <v>133</v>
      </c>
      <c r="C3" s="2"/>
      <c r="D3" s="2"/>
      <c r="E3" s="2"/>
      <c r="F3" s="2"/>
      <c r="G3" s="2"/>
    </row>
    <row r="5" spans="2:8" x14ac:dyDescent="0.25">
      <c r="B5" s="58" t="s">
        <v>112</v>
      </c>
      <c r="C5" s="58" t="s">
        <v>134</v>
      </c>
      <c r="D5" s="58" t="s">
        <v>135</v>
      </c>
      <c r="E5" s="58" t="s">
        <v>136</v>
      </c>
      <c r="F5" s="58" t="s">
        <v>137</v>
      </c>
      <c r="G5" s="58" t="s">
        <v>138</v>
      </c>
      <c r="H5" s="58" t="s">
        <v>139</v>
      </c>
    </row>
    <row r="6" spans="2:8" ht="21.75" customHeight="1" x14ac:dyDescent="0.25">
      <c r="B6" s="53" t="s">
        <v>35</v>
      </c>
      <c r="C6" s="45">
        <f>'🔍 Detector Hormiga'!C16</f>
        <v>150</v>
      </c>
      <c r="D6" s="59">
        <v>0.2</v>
      </c>
      <c r="E6" s="60">
        <f t="shared" ref="E6:E15" si="0">C6*D6</f>
        <v>30</v>
      </c>
      <c r="F6" s="61">
        <f t="shared" ref="F6:F15" si="1">E6*12</f>
        <v>360</v>
      </c>
      <c r="G6" s="62" t="str">
        <f t="shared" ref="G6:G15" si="2">IF(E6=0,"Sin gasto","⬇️ Reducir "&amp;TEXT(D6,"0%")&amp;" = "&amp;TEXT(E6,"$#,##0")&amp;"/mes")</f>
        <v>⬇️ Reducir 20% = $30/mes</v>
      </c>
      <c r="H6" s="63" t="s">
        <v>140</v>
      </c>
    </row>
    <row r="7" spans="2:8" ht="21.75" customHeight="1" x14ac:dyDescent="0.25">
      <c r="B7" s="54" t="s">
        <v>38</v>
      </c>
      <c r="C7" s="48">
        <f>'🔍 Detector Hormiga'!C17</f>
        <v>445</v>
      </c>
      <c r="D7" s="59">
        <v>0.2</v>
      </c>
      <c r="E7" s="64">
        <f t="shared" si="0"/>
        <v>89</v>
      </c>
      <c r="F7" s="65">
        <f t="shared" si="1"/>
        <v>1068</v>
      </c>
      <c r="G7" s="66" t="str">
        <f t="shared" si="2"/>
        <v>⬇️ Reducir 20% = $89/mes</v>
      </c>
      <c r="H7" s="63" t="s">
        <v>140</v>
      </c>
    </row>
    <row r="8" spans="2:8" ht="21.75" customHeight="1" x14ac:dyDescent="0.25">
      <c r="B8" s="53" t="s">
        <v>41</v>
      </c>
      <c r="C8" s="45">
        <f>'🔍 Detector Hormiga'!C18</f>
        <v>80</v>
      </c>
      <c r="D8" s="59">
        <v>0.2</v>
      </c>
      <c r="E8" s="60">
        <f t="shared" si="0"/>
        <v>16</v>
      </c>
      <c r="F8" s="61">
        <f t="shared" si="1"/>
        <v>192</v>
      </c>
      <c r="G8" s="62" t="str">
        <f t="shared" si="2"/>
        <v>⬇️ Reducir 20% = $16/mes</v>
      </c>
      <c r="H8" s="63" t="s">
        <v>140</v>
      </c>
    </row>
    <row r="9" spans="2:8" ht="21.75" customHeight="1" x14ac:dyDescent="0.25">
      <c r="B9" s="54" t="s">
        <v>44</v>
      </c>
      <c r="C9" s="48">
        <f>'🔍 Detector Hormiga'!C19</f>
        <v>557</v>
      </c>
      <c r="D9" s="59">
        <v>0.2</v>
      </c>
      <c r="E9" s="64">
        <f t="shared" si="0"/>
        <v>111.4</v>
      </c>
      <c r="F9" s="65">
        <f t="shared" si="1"/>
        <v>1336.8000000000002</v>
      </c>
      <c r="G9" s="66" t="str">
        <f t="shared" si="2"/>
        <v>⬇️ Reducir 20% = $111/mes</v>
      </c>
      <c r="H9" s="63" t="s">
        <v>140</v>
      </c>
    </row>
    <row r="10" spans="2:8" ht="21.75" customHeight="1" x14ac:dyDescent="0.25">
      <c r="B10" s="53" t="s">
        <v>47</v>
      </c>
      <c r="C10" s="45">
        <f>'🔍 Detector Hormiga'!C20</f>
        <v>42</v>
      </c>
      <c r="D10" s="59">
        <v>0.2</v>
      </c>
      <c r="E10" s="60">
        <f t="shared" si="0"/>
        <v>8.4</v>
      </c>
      <c r="F10" s="61">
        <f t="shared" si="1"/>
        <v>100.80000000000001</v>
      </c>
      <c r="G10" s="62" t="str">
        <f t="shared" si="2"/>
        <v>⬇️ Reducir 20% = $8/mes</v>
      </c>
      <c r="H10" s="63" t="s">
        <v>140</v>
      </c>
    </row>
    <row r="11" spans="2:8" ht="21.75" customHeight="1" x14ac:dyDescent="0.25">
      <c r="B11" s="54" t="s">
        <v>50</v>
      </c>
      <c r="C11" s="48">
        <f>'🔍 Detector Hormiga'!C21</f>
        <v>65</v>
      </c>
      <c r="D11" s="59">
        <v>0.2</v>
      </c>
      <c r="E11" s="64">
        <f t="shared" si="0"/>
        <v>13</v>
      </c>
      <c r="F11" s="65">
        <f t="shared" si="1"/>
        <v>156</v>
      </c>
      <c r="G11" s="66" t="str">
        <f t="shared" si="2"/>
        <v>⬇️ Reducir 20% = $13/mes</v>
      </c>
      <c r="H11" s="63" t="s">
        <v>140</v>
      </c>
    </row>
    <row r="12" spans="2:8" ht="21.75" customHeight="1" x14ac:dyDescent="0.25">
      <c r="B12" s="53" t="s">
        <v>53</v>
      </c>
      <c r="C12" s="45">
        <f>'🔍 Detector Hormiga'!C22</f>
        <v>189</v>
      </c>
      <c r="D12" s="59">
        <v>0.2</v>
      </c>
      <c r="E12" s="60">
        <f t="shared" si="0"/>
        <v>37.800000000000004</v>
      </c>
      <c r="F12" s="61">
        <f t="shared" si="1"/>
        <v>453.6</v>
      </c>
      <c r="G12" s="62" t="str">
        <f t="shared" si="2"/>
        <v>⬇️ Reducir 20% = $38/mes</v>
      </c>
      <c r="H12" s="63" t="s">
        <v>140</v>
      </c>
    </row>
    <row r="13" spans="2:8" ht="21.75" customHeight="1" x14ac:dyDescent="0.25">
      <c r="B13" s="54" t="s">
        <v>56</v>
      </c>
      <c r="C13" s="48">
        <f>'🔍 Detector Hormiga'!C23</f>
        <v>145</v>
      </c>
      <c r="D13" s="59">
        <v>0.2</v>
      </c>
      <c r="E13" s="64">
        <f t="shared" si="0"/>
        <v>29</v>
      </c>
      <c r="F13" s="65">
        <f t="shared" si="1"/>
        <v>348</v>
      </c>
      <c r="G13" s="66" t="str">
        <f t="shared" si="2"/>
        <v>⬇️ Reducir 20% = $29/mes</v>
      </c>
      <c r="H13" s="63" t="s">
        <v>140</v>
      </c>
    </row>
    <row r="14" spans="2:8" ht="21.75" customHeight="1" x14ac:dyDescent="0.25">
      <c r="B14" s="53" t="s">
        <v>59</v>
      </c>
      <c r="C14" s="45">
        <f>'🔍 Detector Hormiga'!C24</f>
        <v>49</v>
      </c>
      <c r="D14" s="59">
        <v>0.2</v>
      </c>
      <c r="E14" s="60">
        <f t="shared" si="0"/>
        <v>9.8000000000000007</v>
      </c>
      <c r="F14" s="61">
        <f t="shared" si="1"/>
        <v>117.60000000000001</v>
      </c>
      <c r="G14" s="62" t="str">
        <f t="shared" si="2"/>
        <v>⬇️ Reducir 20% = $10/mes</v>
      </c>
      <c r="H14" s="63" t="s">
        <v>140</v>
      </c>
    </row>
    <row r="15" spans="2:8" ht="21.75" customHeight="1" x14ac:dyDescent="0.25">
      <c r="B15" s="54" t="s">
        <v>62</v>
      </c>
      <c r="C15" s="48">
        <f>'🔍 Detector Hormiga'!C25</f>
        <v>0</v>
      </c>
      <c r="D15" s="59">
        <v>0.2</v>
      </c>
      <c r="E15" s="64">
        <f t="shared" si="0"/>
        <v>0</v>
      </c>
      <c r="F15" s="65">
        <f t="shared" si="1"/>
        <v>0</v>
      </c>
      <c r="G15" s="66" t="str">
        <f t="shared" si="2"/>
        <v>Sin gasto</v>
      </c>
      <c r="H15" s="63" t="s">
        <v>140</v>
      </c>
    </row>
    <row r="16" spans="2:8" ht="25.5" customHeight="1" x14ac:dyDescent="0.25">
      <c r="B16" s="67" t="s">
        <v>141</v>
      </c>
      <c r="C16" s="68">
        <f>SUM(C6:C15)</f>
        <v>1722</v>
      </c>
      <c r="D16" s="69"/>
      <c r="E16" s="70">
        <f>SUM(E6:E15)</f>
        <v>344.40000000000003</v>
      </c>
      <c r="F16" s="70">
        <f>SUM(F6:F15)</f>
        <v>4132.8</v>
      </c>
      <c r="G16" s="69"/>
      <c r="H16" s="69"/>
    </row>
    <row r="18" spans="2:8" ht="31.5" customHeight="1" x14ac:dyDescent="0.25">
      <c r="B18" s="80" t="str">
        <f>IF(F16&gt;0,"💡 Si eliminas estos gastos hormiga, en un año podrías tener $"&amp;TEXT(F16,"#,##0")&amp;" MXN extra. Eso es más que "&amp;TEXT(F16/12,"$#,##0")&amp;" al mes.","Llena la hoja de gastos para ver el cálculo.")</f>
        <v>💡 Si eliminas estos gastos hormiga, en un año podrías tener $4,133 MXN extra. Eso es más que $344 al mes.</v>
      </c>
      <c r="C18" s="80"/>
      <c r="D18" s="80"/>
      <c r="E18" s="80"/>
      <c r="F18" s="80"/>
      <c r="G18" s="80"/>
      <c r="H18" s="80"/>
    </row>
  </sheetData>
  <mergeCells count="3">
    <mergeCell ref="B2:G2"/>
    <mergeCell ref="B3:G3"/>
    <mergeCell ref="B18:H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🏠 Inicio</vt:lpstr>
      <vt:lpstr>⚙️ Config</vt:lpstr>
      <vt:lpstr>📋 Gastos Diarios</vt:lpstr>
      <vt:lpstr>🔍 Detector Hormiga</vt:lpstr>
      <vt:lpstr>📊 Resumen Mensual</vt:lpstr>
      <vt:lpstr>🎯 Plan de Rescate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J. Eduardo Bucio</cp:lastModifiedBy>
  <cp:revision>0</cp:revision>
  <dcterms:created xsi:type="dcterms:W3CDTF">2026-05-29T20:26:18Z</dcterms:created>
  <dcterms:modified xsi:type="dcterms:W3CDTF">2026-06-03T15:19:47Z</dcterms:modified>
  <dc:language>en-US</dc:language>
</cp:coreProperties>
</file>