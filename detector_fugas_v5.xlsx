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jebucio\Desktop\"/>
    </mc:Choice>
  </mc:AlternateContent>
  <xr:revisionPtr revIDLastSave="0" documentId="13_ncr:1_{7E36DB78-CDBD-4559-A57B-B7BA8261313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🏠 Inicio" sheetId="1" r:id="rId1"/>
    <sheet name="⚙️ Config" sheetId="2" r:id="rId2"/>
    <sheet name="📋 Gastos Diarios" sheetId="3" r:id="rId3"/>
    <sheet name="🔍 Detector Hormiga" sheetId="4" r:id="rId4"/>
    <sheet name="📊 Resumen Mensual" sheetId="5" r:id="rId5"/>
    <sheet name="🎯 Plan de Rescat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7" i="5" l="1"/>
  <c r="B25" i="5"/>
  <c r="B23" i="5"/>
  <c r="D20" i="5"/>
  <c r="B19" i="5"/>
  <c r="D18" i="5"/>
  <c r="B17" i="5"/>
  <c r="B15" i="5"/>
  <c r="C9" i="5"/>
  <c r="C5" i="5"/>
  <c r="D30" i="4"/>
  <c r="D29" i="5" s="1"/>
  <c r="C30" i="4"/>
  <c r="C29" i="5" s="1"/>
  <c r="F29" i="5" s="1"/>
  <c r="B30" i="4"/>
  <c r="B29" i="5" s="1"/>
  <c r="D29" i="4"/>
  <c r="D28" i="5" s="1"/>
  <c r="E28" i="5" s="1"/>
  <c r="C29" i="4"/>
  <c r="C19" i="6" s="1"/>
  <c r="B29" i="4"/>
  <c r="B28" i="5" s="1"/>
  <c r="D28" i="4"/>
  <c r="D27" i="5" s="1"/>
  <c r="E27" i="5" s="1"/>
  <c r="C28" i="4"/>
  <c r="C18" i="6" s="1"/>
  <c r="B28" i="4"/>
  <c r="D27" i="4"/>
  <c r="D26" i="5" s="1"/>
  <c r="C27" i="4"/>
  <c r="G27" i="4" s="1"/>
  <c r="B27" i="4"/>
  <c r="B26" i="5" s="1"/>
  <c r="D26" i="4"/>
  <c r="D25" i="5" s="1"/>
  <c r="C26" i="4"/>
  <c r="C25" i="5" s="1"/>
  <c r="F25" i="5" s="1"/>
  <c r="B26" i="4"/>
  <c r="D25" i="4"/>
  <c r="D24" i="5" s="1"/>
  <c r="C25" i="4"/>
  <c r="C15" i="6" s="1"/>
  <c r="B25" i="4"/>
  <c r="B24" i="5" s="1"/>
  <c r="D24" i="4"/>
  <c r="C24" i="4"/>
  <c r="C14" i="6" s="1"/>
  <c r="B24" i="4"/>
  <c r="D23" i="4"/>
  <c r="C23" i="4"/>
  <c r="G23" i="4" s="1"/>
  <c r="B23" i="4"/>
  <c r="B22" i="5" s="1"/>
  <c r="D22" i="4"/>
  <c r="D21" i="5" s="1"/>
  <c r="C22" i="4"/>
  <c r="C21" i="5" s="1"/>
  <c r="F21" i="5" s="1"/>
  <c r="B22" i="4"/>
  <c r="B21" i="5" s="1"/>
  <c r="D21" i="4"/>
  <c r="C21" i="4"/>
  <c r="C11" i="6" s="1"/>
  <c r="B21" i="4"/>
  <c r="B20" i="5" s="1"/>
  <c r="D20" i="4"/>
  <c r="D19" i="5" s="1"/>
  <c r="C20" i="4"/>
  <c r="G20" i="4" s="1"/>
  <c r="B20" i="4"/>
  <c r="D19" i="4"/>
  <c r="C19" i="4"/>
  <c r="G19" i="4" s="1"/>
  <c r="B19" i="4"/>
  <c r="B18" i="5" s="1"/>
  <c r="D18" i="4"/>
  <c r="D17" i="5" s="1"/>
  <c r="C18" i="4"/>
  <c r="C17" i="5" s="1"/>
  <c r="F17" i="5" s="1"/>
  <c r="B18" i="4"/>
  <c r="D17" i="4"/>
  <c r="D16" i="5" s="1"/>
  <c r="C17" i="4"/>
  <c r="E17" i="4" s="1"/>
  <c r="B17" i="4"/>
  <c r="B16" i="5" s="1"/>
  <c r="D16" i="4"/>
  <c r="C16" i="4"/>
  <c r="B16" i="4"/>
  <c r="G10" i="4"/>
  <c r="G6" i="4"/>
  <c r="F94" i="3"/>
  <c r="D94" i="3"/>
  <c r="G7" i="4" s="1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C7" i="5" s="1"/>
  <c r="F15" i="3"/>
  <c r="F14" i="3"/>
  <c r="F13" i="3"/>
  <c r="F12" i="3"/>
  <c r="F11" i="3"/>
  <c r="F10" i="3"/>
  <c r="F9" i="3"/>
  <c r="F8" i="3"/>
  <c r="F7" i="3"/>
  <c r="F6" i="3"/>
  <c r="F5" i="3"/>
  <c r="F4" i="3"/>
  <c r="D28" i="2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G8" i="4" l="1"/>
  <c r="G9" i="4" s="1"/>
  <c r="E23" i="4"/>
  <c r="E24" i="4"/>
  <c r="E25" i="5"/>
  <c r="C31" i="4"/>
  <c r="D31" i="4"/>
  <c r="F18" i="6"/>
  <c r="E18" i="6"/>
  <c r="G18" i="6" s="1"/>
  <c r="E17" i="5"/>
  <c r="F15" i="6"/>
  <c r="E15" i="6"/>
  <c r="G15" i="6" s="1"/>
  <c r="E21" i="5"/>
  <c r="E19" i="6"/>
  <c r="G19" i="6" s="1"/>
  <c r="E29" i="5"/>
  <c r="F14" i="6"/>
  <c r="E14" i="6"/>
  <c r="G14" i="6" s="1"/>
  <c r="F24" i="4"/>
  <c r="F27" i="4"/>
  <c r="F17" i="4"/>
  <c r="F30" i="4"/>
  <c r="F20" i="4"/>
  <c r="F23" i="4"/>
  <c r="F26" i="4"/>
  <c r="F16" i="4"/>
  <c r="F29" i="4"/>
  <c r="F19" i="4"/>
  <c r="G11" i="4"/>
  <c r="F22" i="4"/>
  <c r="F25" i="4"/>
  <c r="F21" i="4"/>
  <c r="F28" i="4"/>
  <c r="F18" i="4"/>
  <c r="E11" i="6"/>
  <c r="G11" i="6" s="1"/>
  <c r="C6" i="5"/>
  <c r="C18" i="5"/>
  <c r="C22" i="5"/>
  <c r="C26" i="5"/>
  <c r="E28" i="4"/>
  <c r="C8" i="5"/>
  <c r="D22" i="5"/>
  <c r="E22" i="5" s="1"/>
  <c r="E25" i="4"/>
  <c r="G28" i="4"/>
  <c r="C10" i="5"/>
  <c r="E21" i="4"/>
  <c r="G24" i="4"/>
  <c r="E18" i="4"/>
  <c r="G21" i="4"/>
  <c r="G18" i="4"/>
  <c r="C9" i="6"/>
  <c r="C13" i="6"/>
  <c r="C17" i="6"/>
  <c r="E22" i="4"/>
  <c r="G25" i="4"/>
  <c r="C27" i="5"/>
  <c r="F27" i="5" s="1"/>
  <c r="C15" i="5"/>
  <c r="C19" i="5"/>
  <c r="F19" i="5" s="1"/>
  <c r="C23" i="5"/>
  <c r="F23" i="5" s="1"/>
  <c r="D15" i="5"/>
  <c r="E15" i="5" s="1"/>
  <c r="D23" i="5"/>
  <c r="E23" i="5" s="1"/>
  <c r="G17" i="4"/>
  <c r="C8" i="6"/>
  <c r="C12" i="6"/>
  <c r="C16" i="6"/>
  <c r="C20" i="6"/>
  <c r="E29" i="4"/>
  <c r="E26" i="4"/>
  <c r="G29" i="4"/>
  <c r="E19" i="4"/>
  <c r="G22" i="4"/>
  <c r="C6" i="6"/>
  <c r="C10" i="6"/>
  <c r="E16" i="4"/>
  <c r="C16" i="5"/>
  <c r="F16" i="5" s="1"/>
  <c r="C20" i="5"/>
  <c r="C24" i="5"/>
  <c r="F24" i="5" s="1"/>
  <c r="C28" i="5"/>
  <c r="F28" i="5" s="1"/>
  <c r="G26" i="4"/>
  <c r="E30" i="4"/>
  <c r="E20" i="4"/>
  <c r="C7" i="6"/>
  <c r="E27" i="4"/>
  <c r="G30" i="4"/>
  <c r="G16" i="4"/>
  <c r="F19" i="6" l="1"/>
  <c r="E7" i="6"/>
  <c r="G7" i="6" s="1"/>
  <c r="F15" i="5"/>
  <c r="E24" i="5"/>
  <c r="E10" i="6"/>
  <c r="G10" i="6" s="1"/>
  <c r="E8" i="6"/>
  <c r="G8" i="6" s="1"/>
  <c r="F26" i="5"/>
  <c r="E26" i="5"/>
  <c r="F22" i="5"/>
  <c r="F18" i="5"/>
  <c r="E18" i="5"/>
  <c r="E19" i="5"/>
  <c r="F20" i="5"/>
  <c r="E20" i="5"/>
  <c r="E9" i="6"/>
  <c r="G9" i="6" s="1"/>
  <c r="F11" i="6"/>
  <c r="E17" i="6"/>
  <c r="G17" i="6" s="1"/>
  <c r="F17" i="6"/>
  <c r="E16" i="5"/>
  <c r="E6" i="6"/>
  <c r="C21" i="6"/>
  <c r="E13" i="6"/>
  <c r="G13" i="6" s="1"/>
  <c r="F13" i="6"/>
  <c r="E20" i="6"/>
  <c r="G20" i="6" s="1"/>
  <c r="F16" i="6"/>
  <c r="E16" i="6"/>
  <c r="G16" i="6" s="1"/>
  <c r="E12" i="6"/>
  <c r="G12" i="6" s="1"/>
  <c r="F9" i="6" l="1"/>
  <c r="F12" i="6"/>
  <c r="F20" i="6"/>
  <c r="F8" i="6"/>
  <c r="F10" i="6"/>
  <c r="G6" i="6"/>
  <c r="E21" i="6"/>
  <c r="F6" i="6"/>
  <c r="F7" i="6"/>
  <c r="F21" i="6" l="1"/>
  <c r="B23" i="6" s="1"/>
</calcChain>
</file>

<file path=xl/sharedStrings.xml><?xml version="1.0" encoding="utf-8"?>
<sst xmlns="http://schemas.openxmlformats.org/spreadsheetml/2006/main" count="187" uniqueCount="158">
  <si>
    <t>💸  DETECTOR DE FUGAS — Control de Gastos Hormiga</t>
  </si>
  <si>
    <t>1️⃣  CONFIGURA</t>
  </si>
  <si>
    <t>2️⃣  REGISTRA</t>
  </si>
  <si>
    <t>3️⃣  DESCUBRE</t>
  </si>
  <si>
    <t>Hoja ⚙️ Config
Escribe tu nombre, mes y presupuesto mensual</t>
  </si>
  <si>
    <t>Hoja 📋 Gastos Diarios
Anota cada gasto (chico o grande) al momento de hacerlo</t>
  </si>
  <si>
    <t>Hoja 🔍 Detector Hormiga
Ve exactamente qué categorías se están comiendo tu dinero
Hoja 🎯 Plan de Rescate
Calcula cuánto recuperas eliminando cada categoría</t>
  </si>
  <si>
    <t>📂  HOJAS DE ESTE SISTEMA</t>
  </si>
  <si>
    <t>⚙️ Config</t>
  </si>
  <si>
    <t>Parámetros personales: nombre, mes, categorías y presupuesto</t>
  </si>
  <si>
    <t>📋 Gastos Diarios</t>
  </si>
  <si>
    <t>Aquí capturas cada gasto — la única hoja que llenas manualmente</t>
  </si>
  <si>
    <t>🔍 Detector Hormiga</t>
  </si>
  <si>
    <t>Ranking automático de tus fugas. Solo lee, no escribas aquí</t>
  </si>
  <si>
    <t>📊 Resumen Mensual</t>
  </si>
  <si>
    <t>Panorama completo: ¿quedaste bien o te fuiste de feria?</t>
  </si>
  <si>
    <t>🎯 Plan de Rescate</t>
  </si>
  <si>
    <t>Calcula cuánto recuperas al reducir cada gasto hormiga</t>
  </si>
  <si>
    <t>🔒  Tus datos no salen de este archivo. No hay conexión a internet, no hay suscripción. Es tuyo.</t>
  </si>
  <si>
    <t>✏️  QUÉ PUEDES MODIFICAR — Y QUÉ NO</t>
  </si>
  <si>
    <t>✅  PUEDES EDITAR:</t>
  </si>
  <si>
    <t xml:space="preserve">  • ⚙️ Config</t>
  </si>
  <si>
    <t>Nombre, mes, ingreso, meta de ahorro, nombres de categorías y presupuestos</t>
  </si>
  <si>
    <t xml:space="preserve">  • 📋 Gastos Diarios</t>
  </si>
  <si>
    <t>Columnas A (Fecha), B (Descripción), C (Categoría), D (Monto) y E (Nota)</t>
  </si>
  <si>
    <t xml:space="preserve">  • 🎯 Plan de Rescate</t>
  </si>
  <si>
    <t>Columna "% que vas a reducir" y la columna de compromisos</t>
  </si>
  <si>
    <t>🔒  NO MODIFIQUES:</t>
  </si>
  <si>
    <t>Solo la columna F (¿Es hormiga?) tiene fórmula — no la borres</t>
  </si>
  <si>
    <t xml:space="preserve">  • 🔍 Detector Hormiga</t>
  </si>
  <si>
    <t>Hoja de solo lectura — no escribas nada aquí</t>
  </si>
  <si>
    <t xml:space="preserve">  • 📊 Resumen Mensual</t>
  </si>
  <si>
    <t>Hoja de solo lectura — se llena sola</t>
  </si>
  <si>
    <t>No borres las filas ni cambies los códigos CAT01–CAT15 de la columna B</t>
  </si>
  <si>
    <t>🗑️  LIMPIAR EL MES:</t>
  </si>
  <si>
    <t>En Gastos Diarios → selecciona A4:E93 → presiona Supr (Delete)</t>
  </si>
  <si>
    <t>⚙️  CONFIGURACIÓN PERSONAL</t>
  </si>
  <si>
    <t>Llena las celdas en azul. No modifiques las grises.</t>
  </si>
  <si>
    <t>👤  DATOS PERSONALES</t>
  </si>
  <si>
    <t>Tu nombre o apodo</t>
  </si>
  <si>
    <t>Mi nombre</t>
  </si>
  <si>
    <t>Mes que estás analizando</t>
  </si>
  <si>
    <t>Ingreso mensual neto ($)</t>
  </si>
  <si>
    <t>Meta de ahorro mensual ($)</t>
  </si>
  <si>
    <t>Código</t>
  </si>
  <si>
    <t>Nombre de categoría</t>
  </si>
  <si>
    <t>Presupuesto mensual ($)</t>
  </si>
  <si>
    <t>Color sugerido</t>
  </si>
  <si>
    <t>CAT01</t>
  </si>
  <si>
    <t>Cafeterías y bebidas</t>
  </si>
  <si>
    <t>☕</t>
  </si>
  <si>
    <t>CAT02</t>
  </si>
  <si>
    <t>Comida rápida y antojitos</t>
  </si>
  <si>
    <t>🌮</t>
  </si>
  <si>
    <t>CAT03</t>
  </si>
  <si>
    <t>Supermercado y despensa</t>
  </si>
  <si>
    <t>🛒</t>
  </si>
  <si>
    <t>CAT04</t>
  </si>
  <si>
    <t>Transporte (taxi, valet, casetas)</t>
  </si>
  <si>
    <t>🚗</t>
  </si>
  <si>
    <t>CAT05</t>
  </si>
  <si>
    <t>Apps y suscripciones</t>
  </si>
  <si>
    <t>📱</t>
  </si>
  <si>
    <t>CAT06</t>
  </si>
  <si>
    <t>Snacks y dulcerías</t>
  </si>
  <si>
    <t>🍬</t>
  </si>
  <si>
    <t>CAT07</t>
  </si>
  <si>
    <t>Compras de impulso online</t>
  </si>
  <si>
    <t>📦</t>
  </si>
  <si>
    <t>CAT08</t>
  </si>
  <si>
    <t>Farmacia y salud</t>
  </si>
  <si>
    <t>💊</t>
  </si>
  <si>
    <t>CAT09</t>
  </si>
  <si>
    <t>Entretenimiento y ocio</t>
  </si>
  <si>
    <t>🎮</t>
  </si>
  <si>
    <t>CAT10</t>
  </si>
  <si>
    <t>Otros gastos</t>
  </si>
  <si>
    <t>💸</t>
  </si>
  <si>
    <t>CAT11</t>
  </si>
  <si>
    <t>Servicios (luz, agua, internet)</t>
  </si>
  <si>
    <t>💡</t>
  </si>
  <si>
    <t>CAT12</t>
  </si>
  <si>
    <t>Créditos y mensualidades</t>
  </si>
  <si>
    <t>💳</t>
  </si>
  <si>
    <t>CAT13</t>
  </si>
  <si>
    <t>Educación y cursos</t>
  </si>
  <si>
    <t>📚</t>
  </si>
  <si>
    <t>CAT14</t>
  </si>
  <si>
    <t>Cigarros y vapeadores</t>
  </si>
  <si>
    <t>🚬</t>
  </si>
  <si>
    <t>CAT15</t>
  </si>
  <si>
    <t>Renta y alquiler</t>
  </si>
  <si>
    <t>🏠</t>
  </si>
  <si>
    <t>TOTAL PRESUPUESTADO EN CATEGORÍAS</t>
  </si>
  <si>
    <t>📋  REGISTRO DE GASTOS DIARIOS  — Solo llena las columnas en azul</t>
  </si>
  <si>
    <t>📅 Fecha</t>
  </si>
  <si>
    <t>📝 Descripción del gasto</t>
  </si>
  <si>
    <t>🏷️ Categoría</t>
  </si>
  <si>
    <t>💵 Monto ($)</t>
  </si>
  <si>
    <t>💬 Nota (opcional)</t>
  </si>
  <si>
    <t>📌 Es hormiga?</t>
  </si>
  <si>
    <t>Renta enero</t>
  </si>
  <si>
    <t>Café en Starbucks camino al trabajo</t>
  </si>
  <si>
    <t>Uber del gym a casa</t>
  </si>
  <si>
    <t>OXXO — agua y papas</t>
  </si>
  <si>
    <t>Netflix mensualidad</t>
  </si>
  <si>
    <t>Tacos en el puesto de la esquina</t>
  </si>
  <si>
    <t>Café de la oficina (máquina)</t>
  </si>
  <si>
    <t>Despensa semanal</t>
  </si>
  <si>
    <t>Amazon — cable que no necesitaba</t>
  </si>
  <si>
    <t>Farmacia — vitaminas</t>
  </si>
  <si>
    <t>Disney+ mensualidad</t>
  </si>
  <si>
    <t>Lunch en centro comercial</t>
  </si>
  <si>
    <t>TOTAL REGISTRADO</t>
  </si>
  <si>
    <t>🔍  DETECTOR DE FUGAS — ¿A dónde se fue tu dinero?</t>
  </si>
  <si>
    <t>Esta hoja se actualiza sola. No escribas aquí — solo lee.</t>
  </si>
  <si>
    <t>📊  RESUMEN DEL MES</t>
  </si>
  <si>
    <t>💰 Ingreso mensual</t>
  </si>
  <si>
    <t>💸 Total gastado este mes</t>
  </si>
  <si>
    <t>🐜 Total en gastos hormiga</t>
  </si>
  <si>
    <t>📉 % del ingreso en hormiga</t>
  </si>
  <si>
    <t>🎯 Meta de ahorro</t>
  </si>
  <si>
    <t>✅ ¿Lograste la meta?</t>
  </si>
  <si>
    <t>Categoría</t>
  </si>
  <si>
    <t>Gastado ($)</t>
  </si>
  <si>
    <t>Presupuesto ($)</t>
  </si>
  <si>
    <t>Disponible ($)</t>
  </si>
  <si>
    <t>% del total</t>
  </si>
  <si>
    <t>Estado</t>
  </si>
  <si>
    <t>TOTAL</t>
  </si>
  <si>
    <t>📊  RESUMEN MENSUAL  — El panorama completo</t>
  </si>
  <si>
    <t>💰  FLUJO DEL MES</t>
  </si>
  <si>
    <t>Ingreso neto mensual</t>
  </si>
  <si>
    <t>Total gastado</t>
  </si>
  <si>
    <t>Total en gastos hormiga</t>
  </si>
  <si>
    <t>Saldo al final del mes</t>
  </si>
  <si>
    <t>Meta de ahorro</t>
  </si>
  <si>
    <t>Diferencia vs meta</t>
  </si>
  <si>
    <t>🏷️  GASTO POR CATEGORÍA (automático desde Detector)</t>
  </si>
  <si>
    <t>Gastado</t>
  </si>
  <si>
    <t>Presupuesto</t>
  </si>
  <si>
    <t>% Uso</t>
  </si>
  <si>
    <t>Alerta</t>
  </si>
  <si>
    <t>🎯  PLAN DE RESCATE  — Cuánto puedes recuperar</t>
  </si>
  <si>
    <t>Indica qué % quieres reducir en cada categoría y verás cuánto dinero recuperas al mes y al año.</t>
  </si>
  <si>
    <t>Gastado este mes</t>
  </si>
  <si>
    <t>% que vas a reducir</t>
  </si>
  <si>
    <t>Ahorro mensual</t>
  </si>
  <si>
    <t>Ahorro anual</t>
  </si>
  <si>
    <t>¿Vale la pena?</t>
  </si>
  <si>
    <t>✏️ Mi compromiso (escribe aquí)</t>
  </si>
  <si>
    <t>20%</t>
  </si>
  <si>
    <t>🏆  TOTAL RECUPERABLE</t>
  </si>
  <si>
    <t>Sistema de detección y eliminación de gastos invisibles  |  Versión 5.0</t>
  </si>
  <si>
    <t>🏆  RESUMEN POR CATEGORÍA</t>
  </si>
  <si>
    <t>Benson</t>
  </si>
  <si>
    <r>
      <t>✏️  Agrega un renglón por cada gasto — columnas A, B, C y D. Las demás se llenan solas.  |  🗑️</t>
    </r>
    <r>
      <rPr>
        <b/>
        <sz val="9"/>
        <color theme="0"/>
        <rFont val="Arial"/>
        <family val="2"/>
      </rPr>
      <t xml:space="preserve"> Para limpiar el mes: selecciona A4:F93 → presiona Supr (Delete)</t>
    </r>
  </si>
  <si>
    <t>🏷️  CATEGORÍAS DE GASTO  (puedes renombrarlas y asignar su presupuesto)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</si>
</sst>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m\ yyyy"/>
    <numFmt numFmtId="165" formatCode="\$#,##0"/>
    <numFmt numFmtId="166" formatCode="\$#,##0.00"/>
    <numFmt numFmtId="167" formatCode="m/d/yyyy"/>
    <numFmt numFmtId="168" formatCode="0.0%"/>
    <numFmt numFmtId="169" formatCode="\$#,##0;&quot;($&quot;#,##0\);\-"/>
  </numFmts>
  <fonts count="3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sz val="9"/>
      <color rgb="FF2C3E50"/>
      <name val="Arial"/>
      <charset val="1"/>
    </font>
    <font>
      <b/>
      <sz val="10"/>
      <color rgb="FFE94560"/>
      <name val="Arial"/>
      <charset val="1"/>
    </font>
    <font>
      <sz val="9"/>
      <color rgb="FF2C3E50"/>
      <name val="Arial"/>
      <family val="2"/>
      <charset val="1"/>
    </font>
    <font>
      <b/>
      <sz val="9"/>
      <color rgb="FF2C3E50"/>
      <name val="Arial"/>
      <family val="2"/>
      <charset val="1"/>
    </font>
    <font>
      <b/>
      <sz val="9"/>
      <color rgb="FF27AE60"/>
      <name val="Arial"/>
      <charset val="1"/>
    </font>
    <font>
      <b/>
      <sz val="9"/>
      <color rgb="FF2C3E50"/>
      <name val="Arial"/>
      <charset val="1"/>
    </font>
    <font>
      <sz val="9"/>
      <color rgb="FF555555"/>
      <name val="Arial"/>
      <charset val="1"/>
    </font>
    <font>
      <b/>
      <sz val="9"/>
      <color rgb="FFC0392B"/>
      <name val="Arial"/>
      <charset val="1"/>
    </font>
    <font>
      <b/>
      <sz val="9"/>
      <color rgb="FF555555"/>
      <name val="Arial"/>
      <charset val="1"/>
    </font>
    <font>
      <b/>
      <sz val="9"/>
      <color rgb="FF8E44AD"/>
      <name val="Arial"/>
      <charset val="1"/>
    </font>
    <font>
      <sz val="11"/>
      <name val="Calibri"/>
      <charset val="1"/>
    </font>
    <font>
      <b/>
      <sz val="14"/>
      <color rgb="FFFFFFFF"/>
      <name val="Arial"/>
      <charset val="1"/>
    </font>
    <font>
      <sz val="9"/>
      <color rgb="FFAAAAAA"/>
      <name val="Arial"/>
      <charset val="1"/>
    </font>
    <font>
      <b/>
      <sz val="10"/>
      <color rgb="FFFFFFFF"/>
      <name val="Arial"/>
      <charset val="1"/>
    </font>
    <font>
      <sz val="10"/>
      <color rgb="FF2C3E50"/>
      <name val="Arial"/>
      <charset val="1"/>
    </font>
    <font>
      <b/>
      <sz val="10"/>
      <color rgb="FF2980B9"/>
      <name val="Arial"/>
      <family val="2"/>
      <charset val="1"/>
    </font>
    <font>
      <b/>
      <sz val="10"/>
      <color rgb="FF2980B9"/>
      <name val="Arial"/>
      <charset val="1"/>
    </font>
    <font>
      <b/>
      <sz val="9"/>
      <color rgb="FF888888"/>
      <name val="Arial"/>
      <charset val="1"/>
    </font>
    <font>
      <b/>
      <sz val="10"/>
      <color rgb="FF2C3E50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888888"/>
      <name val="Arial"/>
      <charset val="1"/>
    </font>
    <font>
      <b/>
      <sz val="11"/>
      <color rgb="FFE94560"/>
      <name val="Arial"/>
      <charset val="1"/>
    </font>
    <font>
      <b/>
      <sz val="11"/>
      <color rgb="FF2C3E50"/>
      <name val="Arial"/>
      <charset val="1"/>
    </font>
    <font>
      <b/>
      <sz val="10"/>
      <color rgb="FF27AE60"/>
      <name val="Arial"/>
      <charset val="1"/>
    </font>
    <font>
      <b/>
      <sz val="11"/>
      <color rgb="FF27AE60"/>
      <name val="Arial"/>
      <charset val="1"/>
    </font>
    <font>
      <sz val="9"/>
      <color rgb="FFAAAAAA"/>
      <name val="Arial"/>
      <family val="2"/>
      <charset val="1"/>
    </font>
    <font>
      <b/>
      <sz val="13"/>
      <color rgb="FFF5A623"/>
      <name val="Arial"/>
      <charset val="1"/>
    </font>
    <font>
      <b/>
      <sz val="9"/>
      <color rgb="FF555555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0"/>
      <color theme="0"/>
      <name val="Arial"/>
      <family val="2"/>
    </font>
    <font>
      <b/>
      <sz val="11"/>
      <color rgb="FFFFFFFF"/>
      <name val="Arial"/>
      <family val="2"/>
    </font>
    <font>
      <b/>
      <sz val="10"/>
      <color rgb="FF2980B9"/>
      <name val="Arial"/>
      <family val="2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94560"/>
        <bgColor rgb="FFC0504D"/>
      </patternFill>
    </fill>
    <fill>
      <patternFill patternType="solid">
        <fgColor rgb="FF2980B9"/>
        <bgColor rgb="FF3A889D"/>
      </patternFill>
    </fill>
    <fill>
      <patternFill patternType="solid">
        <fgColor rgb="FF27AE60"/>
        <bgColor rgb="FF3A889D"/>
      </patternFill>
    </fill>
    <fill>
      <patternFill patternType="solid">
        <fgColor rgb="FFF4F6F8"/>
        <bgColor rgb="FFEBF5FB"/>
      </patternFill>
    </fill>
    <fill>
      <patternFill patternType="solid">
        <fgColor rgb="FFEBF5FB"/>
        <bgColor rgb="FFEAF7EE"/>
      </patternFill>
    </fill>
    <fill>
      <patternFill patternType="solid">
        <fgColor rgb="FFFFFFFF"/>
        <bgColor rgb="FFF4F6F8"/>
      </patternFill>
    </fill>
    <fill>
      <patternFill patternType="solid">
        <fgColor rgb="FFEAF7EE"/>
        <bgColor rgb="FFEBF5FB"/>
      </patternFill>
    </fill>
    <fill>
      <patternFill patternType="solid">
        <fgColor rgb="FFF5A623"/>
        <bgColor rgb="FFF79646"/>
      </patternFill>
    </fill>
  </fills>
  <borders count="5">
    <border>
      <left/>
      <right/>
      <top/>
      <bottom/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medium">
        <color rgb="FFAEB6BF"/>
      </left>
      <right style="medium">
        <color rgb="FFAEB6BF"/>
      </right>
      <top style="medium">
        <color rgb="FFAEB6BF"/>
      </top>
      <bottom style="medium">
        <color rgb="FFAEB6BF"/>
      </bottom>
      <diagonal/>
    </border>
    <border>
      <left style="medium">
        <color rgb="FFAEB6BF"/>
      </left>
      <right/>
      <top style="medium">
        <color rgb="FFAEB6BF"/>
      </top>
      <bottom style="medium">
        <color rgb="FFAEB6BF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9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wrapText="1"/>
    </xf>
    <xf numFmtId="0" fontId="17" fillId="7" borderId="2" xfId="0" applyFont="1" applyFill="1" applyBorder="1" applyAlignment="1">
      <alignment horizontal="left" vertical="center"/>
    </xf>
    <xf numFmtId="0" fontId="18" fillId="8" borderId="3" xfId="0" applyFont="1" applyFill="1" applyBorder="1" applyAlignment="1">
      <alignment horizontal="left" vertical="center"/>
    </xf>
    <xf numFmtId="0" fontId="0" fillId="0" borderId="0" xfId="0" applyProtection="1">
      <protection locked="0"/>
    </xf>
    <xf numFmtId="164" fontId="19" fillId="8" borderId="3" xfId="0" applyNumberFormat="1" applyFont="1" applyFill="1" applyBorder="1" applyAlignment="1">
      <alignment horizontal="left" vertical="center"/>
    </xf>
    <xf numFmtId="0" fontId="19" fillId="8" borderId="3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0" fontId="19" fillId="8" borderId="3" xfId="0" applyFont="1" applyFill="1" applyBorder="1" applyProtection="1">
      <protection locked="0"/>
    </xf>
    <xf numFmtId="165" fontId="19" fillId="8" borderId="3" xfId="0" applyNumberFormat="1" applyFont="1" applyFill="1" applyBorder="1" applyProtection="1">
      <protection locked="0"/>
    </xf>
    <xf numFmtId="0" fontId="0" fillId="7" borderId="2" xfId="0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18" fillId="8" borderId="3" xfId="0" applyFont="1" applyFill="1" applyBorder="1" applyProtection="1">
      <protection locked="0"/>
    </xf>
    <xf numFmtId="0" fontId="0" fillId="9" borderId="2" xfId="0" applyFill="1" applyBorder="1" applyAlignment="1">
      <alignment horizontal="center" vertical="center"/>
    </xf>
    <xf numFmtId="0" fontId="21" fillId="11" borderId="3" xfId="0" applyFont="1" applyFill="1" applyBorder="1"/>
    <xf numFmtId="165" fontId="21" fillId="11" borderId="3" xfId="0" applyNumberFormat="1" applyFont="1" applyFill="1" applyBorder="1"/>
    <xf numFmtId="0" fontId="23" fillId="0" borderId="0" xfId="0" applyFont="1" applyAlignment="1" applyProtection="1">
      <alignment horizontal="center" vertical="center" wrapText="1"/>
      <protection locked="0"/>
    </xf>
    <xf numFmtId="0" fontId="16" fillId="4" borderId="2" xfId="0" applyFont="1" applyFill="1" applyBorder="1" applyAlignment="1" applyProtection="1">
      <alignment horizontal="center" vertical="center"/>
      <protection locked="0"/>
    </xf>
    <xf numFmtId="0" fontId="16" fillId="4" borderId="2" xfId="0" applyFont="1" applyFill="1" applyBorder="1" applyAlignment="1">
      <alignment horizontal="center" vertical="center"/>
    </xf>
    <xf numFmtId="14" fontId="19" fillId="8" borderId="2" xfId="0" applyNumberFormat="1" applyFont="1" applyFill="1" applyBorder="1" applyAlignment="1" applyProtection="1">
      <alignment horizontal="center" vertical="center"/>
      <protection locked="0"/>
    </xf>
    <xf numFmtId="0" fontId="18" fillId="8" borderId="2" xfId="0" applyFont="1" applyFill="1" applyBorder="1" applyAlignment="1" applyProtection="1">
      <alignment vertical="center"/>
      <protection locked="0"/>
    </xf>
    <xf numFmtId="0" fontId="19" fillId="8" borderId="2" xfId="0" applyFont="1" applyFill="1" applyBorder="1" applyAlignment="1" applyProtection="1">
      <alignment horizontal="center" vertical="center"/>
      <protection locked="0"/>
    </xf>
    <xf numFmtId="166" fontId="19" fillId="8" borderId="2" xfId="0" applyNumberFormat="1" applyFont="1" applyFill="1" applyBorder="1" applyAlignment="1" applyProtection="1">
      <alignment horizontal="right" vertical="center"/>
      <protection locked="0"/>
    </xf>
    <xf numFmtId="0" fontId="24" fillId="7" borderId="2" xfId="0" applyFont="1" applyFill="1" applyBorder="1"/>
    <xf numFmtId="0" fontId="17" fillId="7" borderId="2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/>
    <xf numFmtId="0" fontId="17" fillId="9" borderId="2" xfId="0" applyFont="1" applyFill="1" applyBorder="1" applyAlignment="1" applyProtection="1">
      <alignment horizontal="center" vertical="center"/>
      <protection locked="0"/>
    </xf>
    <xf numFmtId="0" fontId="19" fillId="8" borderId="2" xfId="0" applyFont="1" applyFill="1" applyBorder="1" applyAlignment="1" applyProtection="1">
      <alignment vertical="center"/>
      <protection locked="0"/>
    </xf>
    <xf numFmtId="0" fontId="17" fillId="7" borderId="2" xfId="0" applyFont="1" applyFill="1" applyBorder="1" applyAlignment="1">
      <alignment horizontal="center" vertical="center"/>
    </xf>
    <xf numFmtId="0" fontId="17" fillId="7" borderId="0" xfId="0" applyFont="1" applyFill="1"/>
    <xf numFmtId="0" fontId="21" fillId="7" borderId="2" xfId="0" applyFont="1" applyFill="1" applyBorder="1"/>
    <xf numFmtId="165" fontId="25" fillId="7" borderId="2" xfId="0" applyNumberFormat="1" applyFont="1" applyFill="1" applyBorder="1" applyAlignment="1">
      <alignment horizontal="right" vertical="center"/>
    </xf>
    <xf numFmtId="0" fontId="21" fillId="9" borderId="2" xfId="0" applyFont="1" applyFill="1" applyBorder="1"/>
    <xf numFmtId="165" fontId="25" fillId="9" borderId="2" xfId="0" applyNumberFormat="1" applyFont="1" applyFill="1" applyBorder="1" applyAlignment="1">
      <alignment horizontal="right" vertical="center"/>
    </xf>
    <xf numFmtId="168" fontId="25" fillId="9" borderId="2" xfId="0" applyNumberFormat="1" applyFont="1" applyFill="1" applyBorder="1" applyAlignment="1">
      <alignment horizontal="right" vertical="center"/>
    </xf>
    <xf numFmtId="49" fontId="25" fillId="9" borderId="2" xfId="0" applyNumberFormat="1" applyFont="1" applyFill="1" applyBorder="1" applyAlignment="1">
      <alignment horizontal="right" vertical="center"/>
    </xf>
    <xf numFmtId="165" fontId="17" fillId="7" borderId="2" xfId="0" applyNumberFormat="1" applyFont="1" applyFill="1" applyBorder="1"/>
    <xf numFmtId="169" fontId="17" fillId="7" borderId="2" xfId="0" applyNumberFormat="1" applyFont="1" applyFill="1" applyBorder="1"/>
    <xf numFmtId="168" fontId="17" fillId="7" borderId="2" xfId="0" applyNumberFormat="1" applyFont="1" applyFill="1" applyBorder="1"/>
    <xf numFmtId="0" fontId="21" fillId="7" borderId="2" xfId="0" applyFont="1" applyFill="1" applyBorder="1" applyAlignment="1">
      <alignment horizontal="center" vertical="center"/>
    </xf>
    <xf numFmtId="165" fontId="17" fillId="9" borderId="2" xfId="0" applyNumberFormat="1" applyFont="1" applyFill="1" applyBorder="1"/>
    <xf numFmtId="169" fontId="17" fillId="9" borderId="2" xfId="0" applyNumberFormat="1" applyFont="1" applyFill="1" applyBorder="1"/>
    <xf numFmtId="168" fontId="17" fillId="9" borderId="2" xfId="0" applyNumberFormat="1" applyFont="1" applyFill="1" applyBorder="1"/>
    <xf numFmtId="0" fontId="21" fillId="9" borderId="2" xfId="0" applyFont="1" applyFill="1" applyBorder="1" applyAlignment="1">
      <alignment horizontal="center" vertical="center"/>
    </xf>
    <xf numFmtId="0" fontId="16" fillId="2" borderId="3" xfId="0" applyFont="1" applyFill="1" applyBorder="1"/>
    <xf numFmtId="165" fontId="16" fillId="2" borderId="3" xfId="0" applyNumberFormat="1" applyFont="1" applyFill="1" applyBorder="1"/>
    <xf numFmtId="0" fontId="17" fillId="7" borderId="2" xfId="0" applyFont="1" applyFill="1" applyBorder="1"/>
    <xf numFmtId="0" fontId="17" fillId="9" borderId="2" xfId="0" applyFont="1" applyFill="1" applyBorder="1"/>
    <xf numFmtId="0" fontId="21" fillId="11" borderId="2" xfId="0" applyFont="1" applyFill="1" applyBorder="1"/>
    <xf numFmtId="9" fontId="17" fillId="7" borderId="2" xfId="0" applyNumberFormat="1" applyFont="1" applyFill="1" applyBorder="1"/>
    <xf numFmtId="9" fontId="17" fillId="9" borderId="2" xfId="0" applyNumberFormat="1" applyFont="1" applyFill="1" applyBorder="1"/>
    <xf numFmtId="0" fontId="17" fillId="9" borderId="2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165" fontId="27" fillId="7" borderId="2" xfId="0" applyNumberFormat="1" applyFont="1" applyFill="1" applyBorder="1"/>
    <xf numFmtId="165" fontId="28" fillId="7" borderId="2" xfId="0" applyNumberFormat="1" applyFont="1" applyFill="1" applyBorder="1"/>
    <xf numFmtId="0" fontId="3" fillId="7" borderId="2" xfId="0" applyFont="1" applyFill="1" applyBorder="1"/>
    <xf numFmtId="0" fontId="15" fillId="8" borderId="3" xfId="0" applyFont="1" applyFill="1" applyBorder="1"/>
    <xf numFmtId="165" fontId="27" fillId="9" borderId="2" xfId="0" applyNumberFormat="1" applyFont="1" applyFill="1" applyBorder="1"/>
    <xf numFmtId="165" fontId="28" fillId="9" borderId="2" xfId="0" applyNumberFormat="1" applyFont="1" applyFill="1" applyBorder="1"/>
    <xf numFmtId="0" fontId="3" fillId="9" borderId="2" xfId="0" applyFont="1" applyFill="1" applyBorder="1"/>
    <xf numFmtId="0" fontId="29" fillId="8" borderId="3" xfId="0" applyFont="1" applyFill="1" applyBorder="1"/>
    <xf numFmtId="0" fontId="2" fillId="2" borderId="3" xfId="0" applyFont="1" applyFill="1" applyBorder="1"/>
    <xf numFmtId="165" fontId="2" fillId="2" borderId="3" xfId="0" applyNumberFormat="1" applyFont="1" applyFill="1" applyBorder="1"/>
    <xf numFmtId="0" fontId="0" fillId="2" borderId="3" xfId="0" applyFill="1" applyBorder="1"/>
    <xf numFmtId="165" fontId="30" fillId="2" borderId="3" xfId="0" applyNumberFormat="1" applyFont="1" applyFill="1" applyBorder="1"/>
    <xf numFmtId="0" fontId="7" fillId="10" borderId="1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22" fillId="2" borderId="0" xfId="0" applyFont="1" applyFill="1" applyAlignment="1" applyProtection="1">
      <alignment horizontal="center" vertical="center"/>
      <protection locked="0"/>
    </xf>
    <xf numFmtId="167" fontId="19" fillId="8" borderId="2" xfId="0" applyNumberFormat="1" applyFont="1" applyFill="1" applyBorder="1" applyAlignment="1" applyProtection="1">
      <alignment horizontal="center" vertical="center"/>
      <protection locked="0"/>
    </xf>
    <xf numFmtId="0" fontId="2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165" fontId="26" fillId="7" borderId="1" xfId="0" applyNumberFormat="1" applyFont="1" applyFill="1" applyBorder="1" applyAlignment="1">
      <alignment horizontal="right" vertical="center"/>
    </xf>
    <xf numFmtId="165" fontId="26" fillId="9" borderId="1" xfId="0" applyNumberFormat="1" applyFont="1" applyFill="1" applyBorder="1" applyAlignment="1">
      <alignment horizontal="right" vertical="center"/>
    </xf>
    <xf numFmtId="165" fontId="25" fillId="11" borderId="1" xfId="0" applyNumberFormat="1" applyFont="1" applyFill="1" applyBorder="1" applyAlignment="1">
      <alignment horizontal="right" vertical="center"/>
    </xf>
    <xf numFmtId="169" fontId="25" fillId="11" borderId="1" xfId="0" applyNumberFormat="1" applyFont="1" applyFill="1" applyBorder="1" applyAlignment="1">
      <alignment horizontal="right" vertical="center"/>
    </xf>
    <xf numFmtId="0" fontId="31" fillId="0" borderId="0" xfId="0" applyFont="1" applyAlignment="1">
      <alignment horizontal="left" vertical="center"/>
    </xf>
    <xf numFmtId="9" fontId="19" fillId="8" borderId="3" xfId="0" applyNumberFormat="1" applyFont="1" applyFill="1" applyBorder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35" fillId="4" borderId="0" xfId="0" applyFont="1" applyFill="1" applyAlignment="1">
      <alignment horizontal="left" vertical="center"/>
    </xf>
    <xf numFmtId="0" fontId="36" fillId="8" borderId="2" xfId="0" applyFont="1" applyFill="1" applyBorder="1" applyAlignment="1" applyProtection="1">
      <alignment vertical="center"/>
      <protection locked="0"/>
    </xf>
    <xf numFmtId="0" fontId="32" fillId="3" borderId="0" xfId="0" applyFont="1" applyFill="1" applyAlignment="1" applyProtection="1">
      <alignment horizontal="center" vertical="center"/>
      <protection locked="0"/>
    </xf>
    <xf numFmtId="0" fontId="37" fillId="4" borderId="0" xfId="0" applyFont="1" applyFill="1" applyAlignment="1">
      <alignment horizontal="left" vertical="center"/>
    </xf>
  </cellXfs>
  <cellStyles count="1">
    <cellStyle name="Normal" xfId="0" builtinId="0"/>
  </cellStyles>
  <dxfs count="12">
    <dxf>
      <font>
        <b/>
        <color rgb="FF9C0006"/>
      </font>
      <fill>
        <patternFill>
          <bgColor rgb="FFFFCCCC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color rgb="FF888888"/>
      </font>
      <fill>
        <patternFill>
          <bgColor rgb="FFEDEDED"/>
        </patternFill>
      </fill>
    </dxf>
    <dxf>
      <font>
        <b/>
        <color rgb="FF9C0006"/>
      </font>
      <fill>
        <patternFill>
          <bgColor rgb="FFFFCCCC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CCC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</dxf>
    <dxf>
      <font>
        <color rgb="FF888888"/>
      </font>
      <fill>
        <patternFill>
          <bgColor rgb="FFEDEDED"/>
        </patternFill>
      </fill>
    </dxf>
    <dxf>
      <font>
        <b/>
        <color rgb="FF9C6500"/>
      </font>
      <fill>
        <patternFill>
          <bgColor rgb="FFFFEB9C"/>
        </patternFill>
      </fill>
    </dxf>
    <dxf>
      <fill>
        <patternFill>
          <bgColor rgb="FFFDED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392B"/>
      <rgbColor rgb="FF7E9948"/>
      <rgbColor rgb="FFC17435"/>
      <rgbColor rgb="FFC5D6AC"/>
      <rgbColor rgb="FFE94560"/>
      <rgbColor rgb="FFD9D9D9"/>
      <rgbColor rgb="FF9C0006"/>
      <rgbColor rgb="FF276221"/>
      <rgbColor rgb="FF40699A"/>
      <rgbColor rgb="FF697F3A"/>
      <rgbColor rgb="FF7B2FBE"/>
      <rgbColor rgb="FF2980B9"/>
      <rgbColor rgb="FFAEB6BF"/>
      <rgbColor rgb="FF898989"/>
      <rgbColor rgb="FFB3B3B3"/>
      <rgbColor rgb="FF9D413E"/>
      <rgbColor rgb="FFF4F6F8"/>
      <rgbColor rgb="FFEAF7EE"/>
      <rgbColor rgb="FF695184"/>
      <rgbColor rgb="FFF09244"/>
      <rgbColor rgb="FF325E82"/>
      <rgbColor rgb="FFD5D8DC"/>
      <rgbColor rgb="FF9C6401"/>
      <rgbColor rgb="FFC0504D"/>
      <rgbColor rgb="FFBFD0A7"/>
      <rgbColor rgb="FFEDEDED"/>
      <rgbColor rgb="FFBA4D4A"/>
      <rgbColor rgb="FF555555"/>
      <rgbColor rgb="FF3A889D"/>
      <rgbColor rgb="FFFDEDEC"/>
      <rgbColor rgb="FF00B4D8"/>
      <rgbColor rgb="FFEBF5FB"/>
      <rgbColor rgb="FFC6EFCE"/>
      <rgbColor rgb="FFFFEB9C"/>
      <rgbColor rgb="FFA2C6F7"/>
      <rgbColor rgb="FFD8AAA9"/>
      <rgbColor rgb="FFD2A5A4"/>
      <rgbColor rgb="FFFFCCCC"/>
      <rgbColor rgb="FF4D7EB9"/>
      <rgbColor rgb="FF4AAAC4"/>
      <rgbColor rgb="FF99B958"/>
      <rgbColor rgb="FFF79646"/>
      <rgbColor rgb="FFF5A623"/>
      <rgbColor rgb="FFCC7C3A"/>
      <rgbColor rgb="FF7E63A0"/>
      <rgbColor rgb="FFAAAAAA"/>
      <rgbColor rgb="FF0F3460"/>
      <rgbColor rgb="FF27AE60"/>
      <rgbColor rgb="FF16213E"/>
      <rgbColor rgb="FF1A1A2E"/>
      <rgbColor rgb="FF833432"/>
      <rgbColor rgb="FF8E44AD"/>
      <rgbColor rgb="FF57416E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Gastado vs Presupuesto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'🔍 Detector Hormiga'!$C$15</c:f>
              <c:strCache>
                <c:ptCount val="1"/>
                <c:pt idx="0">
                  <c:v>Gastado ($)</c:v>
                </c:pt>
              </c:strCache>
            </c:strRef>
          </c:tx>
          <c:spPr>
            <a:solidFill>
              <a:srgbClr val="E94560"/>
            </a:solidFill>
            <a:ln w="0">
              <a:solidFill>
                <a:srgbClr val="E9456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'🔍 Detector Hormiga'!$B$16:$B$30</c:f>
              <c:strCache>
                <c:ptCount val="15"/>
                <c:pt idx="0">
                  <c:v>Cafeterías y bebidas</c:v>
                </c:pt>
                <c:pt idx="1">
                  <c:v>Comida rápida y antojitos</c:v>
                </c:pt>
                <c:pt idx="2">
                  <c:v>Supermercado y despensa</c:v>
                </c:pt>
                <c:pt idx="3">
                  <c:v>Transporte (taxi, valet, casetas)</c:v>
                </c:pt>
                <c:pt idx="4">
                  <c:v>Apps y suscripciones</c:v>
                </c:pt>
                <c:pt idx="5">
                  <c:v>Snacks y dulcerías</c:v>
                </c:pt>
                <c:pt idx="6">
                  <c:v>Compras de impulso online</c:v>
                </c:pt>
                <c:pt idx="7">
                  <c:v>Farmacia y salud</c:v>
                </c:pt>
                <c:pt idx="8">
                  <c:v>Entretenimiento y ocio</c:v>
                </c:pt>
                <c:pt idx="9">
                  <c:v>Otros gastos</c:v>
                </c:pt>
                <c:pt idx="10">
                  <c:v>Servicios (luz, agua, internet)</c:v>
                </c:pt>
                <c:pt idx="11">
                  <c:v>Créditos y mensualidades</c:v>
                </c:pt>
                <c:pt idx="12">
                  <c:v>Educación y cursos</c:v>
                </c:pt>
                <c:pt idx="13">
                  <c:v>Cigarros y vapeadores</c:v>
                </c:pt>
                <c:pt idx="14">
                  <c:v>Renta y alquiler</c:v>
                </c:pt>
              </c:strCache>
            </c:strRef>
          </c:cat>
          <c:val>
            <c:numRef>
              <c:f>'🔍 Detector Hormiga'!$C$16:$C$30</c:f>
              <c:numCache>
                <c:formatCode>\$#,##0</c:formatCode>
                <c:ptCount val="15"/>
                <c:pt idx="0">
                  <c:v>110</c:v>
                </c:pt>
                <c:pt idx="1">
                  <c:v>225</c:v>
                </c:pt>
                <c:pt idx="2">
                  <c:v>850</c:v>
                </c:pt>
                <c:pt idx="3">
                  <c:v>65</c:v>
                </c:pt>
                <c:pt idx="4">
                  <c:v>458</c:v>
                </c:pt>
                <c:pt idx="5">
                  <c:v>42</c:v>
                </c:pt>
                <c:pt idx="6">
                  <c:v>189</c:v>
                </c:pt>
                <c:pt idx="7">
                  <c:v>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105</c:v>
                </c:pt>
                <c:pt idx="14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2-4806-B302-4FD96C1018D5}"/>
            </c:ext>
          </c:extLst>
        </c:ser>
        <c:ser>
          <c:idx val="1"/>
          <c:order val="1"/>
          <c:tx>
            <c:strRef>
              <c:f>'🔍 Detector Hormiga'!$D$15</c:f>
              <c:strCache>
                <c:ptCount val="1"/>
                <c:pt idx="0">
                  <c:v>Presupuesto ($)</c:v>
                </c:pt>
              </c:strCache>
            </c:strRef>
          </c:tx>
          <c:spPr>
            <a:solidFill>
              <a:srgbClr val="0F3460"/>
            </a:solidFill>
            <a:ln w="0">
              <a:solidFill>
                <a:srgbClr val="0F346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'🔍 Detector Hormiga'!$B$16:$B$30</c:f>
              <c:strCache>
                <c:ptCount val="15"/>
                <c:pt idx="0">
                  <c:v>Cafeterías y bebidas</c:v>
                </c:pt>
                <c:pt idx="1">
                  <c:v>Comida rápida y antojitos</c:v>
                </c:pt>
                <c:pt idx="2">
                  <c:v>Supermercado y despensa</c:v>
                </c:pt>
                <c:pt idx="3">
                  <c:v>Transporte (taxi, valet, casetas)</c:v>
                </c:pt>
                <c:pt idx="4">
                  <c:v>Apps y suscripciones</c:v>
                </c:pt>
                <c:pt idx="5">
                  <c:v>Snacks y dulcerías</c:v>
                </c:pt>
                <c:pt idx="6">
                  <c:v>Compras de impulso online</c:v>
                </c:pt>
                <c:pt idx="7">
                  <c:v>Farmacia y salud</c:v>
                </c:pt>
                <c:pt idx="8">
                  <c:v>Entretenimiento y ocio</c:v>
                </c:pt>
                <c:pt idx="9">
                  <c:v>Otros gastos</c:v>
                </c:pt>
                <c:pt idx="10">
                  <c:v>Servicios (luz, agua, internet)</c:v>
                </c:pt>
                <c:pt idx="11">
                  <c:v>Créditos y mensualidades</c:v>
                </c:pt>
                <c:pt idx="12">
                  <c:v>Educación y cursos</c:v>
                </c:pt>
                <c:pt idx="13">
                  <c:v>Cigarros y vapeadores</c:v>
                </c:pt>
                <c:pt idx="14">
                  <c:v>Renta y alquiler</c:v>
                </c:pt>
              </c:strCache>
            </c:strRef>
          </c:cat>
          <c:val>
            <c:numRef>
              <c:f>'🔍 Detector Hormiga'!$D$16:$D$30</c:f>
              <c:numCache>
                <c:formatCode>\$#,##0</c:formatCode>
                <c:ptCount val="15"/>
                <c:pt idx="0">
                  <c:v>400</c:v>
                </c:pt>
                <c:pt idx="1">
                  <c:v>1000</c:v>
                </c:pt>
                <c:pt idx="2">
                  <c:v>4000</c:v>
                </c:pt>
                <c:pt idx="3">
                  <c:v>200</c:v>
                </c:pt>
                <c:pt idx="4">
                  <c:v>200</c:v>
                </c:pt>
                <c:pt idx="5">
                  <c:v>350</c:v>
                </c:pt>
                <c:pt idx="6">
                  <c:v>500</c:v>
                </c:pt>
                <c:pt idx="7">
                  <c:v>0</c:v>
                </c:pt>
                <c:pt idx="8">
                  <c:v>1000</c:v>
                </c:pt>
                <c:pt idx="9">
                  <c:v>1500</c:v>
                </c:pt>
                <c:pt idx="10">
                  <c:v>1150</c:v>
                </c:pt>
                <c:pt idx="11">
                  <c:v>2500</c:v>
                </c:pt>
                <c:pt idx="12">
                  <c:v>0</c:v>
                </c:pt>
                <c:pt idx="13">
                  <c:v>0</c:v>
                </c:pt>
                <c:pt idx="1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92-4806-B302-4FD96C101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5061"/>
        <c:axId val="25682106"/>
      </c:barChart>
      <c:catAx>
        <c:axId val="3767506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Monto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25682106"/>
        <c:crosses val="autoZero"/>
        <c:auto val="1"/>
        <c:lblAlgn val="ctr"/>
        <c:lblOffset val="100"/>
        <c:noMultiLvlLbl val="0"/>
      </c:catAx>
      <c:valAx>
        <c:axId val="2568210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376750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Distribución del gasto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'🔍 Detector Hormiga'!$C$15</c:f>
              <c:strCache>
                <c:ptCount val="1"/>
                <c:pt idx="0">
                  <c:v>Gastado ($)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spPr>
              <a:gradFill>
                <a:gsLst>
                  <a:gs pos="0">
                    <a:srgbClr val="304F74"/>
                  </a:gs>
                  <a:gs pos="80000">
                    <a:srgbClr val="3E6697"/>
                  </a:gs>
                  <a:gs pos="100000">
                    <a:srgbClr val="3F6797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34A-4C16-B89F-BFC5606446C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76312F"/>
                  </a:gs>
                  <a:gs pos="80000">
                    <a:srgbClr val="9A3F3D"/>
                  </a:gs>
                  <a:gs pos="100000">
                    <a:srgbClr val="9A403D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34A-4C16-B89F-BFC5606446CA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5F7336"/>
                  </a:gs>
                  <a:gs pos="80000">
                    <a:srgbClr val="7C9646"/>
                  </a:gs>
                  <a:gs pos="100000">
                    <a:srgbClr val="7C9647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34A-4C16-B89F-BFC5606446CA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4F3D63"/>
                  </a:gs>
                  <a:gs pos="80000">
                    <a:srgbClr val="664F81"/>
                  </a:gs>
                  <a:gs pos="100000">
                    <a:srgbClr val="674F82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34A-4C16-B89F-BFC5606446CA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2E697A"/>
                  </a:gs>
                  <a:gs pos="80000">
                    <a:srgbClr val="3C899E"/>
                  </a:gs>
                  <a:gs pos="100000">
                    <a:srgbClr val="3C8A9F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34A-4C16-B89F-BFC5606446CA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rgbClr val="985C2B"/>
                  </a:gs>
                  <a:gs pos="80000">
                    <a:srgbClr val="C57838"/>
                  </a:gs>
                  <a:gs pos="100000">
                    <a:srgbClr val="C67838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534A-4C16-B89F-BFC5606446CA}"/>
              </c:ext>
            </c:extLst>
          </c:dPt>
          <c:dPt>
            <c:idx val="6"/>
            <c:bubble3D val="0"/>
            <c:spPr>
              <a:gradFill>
                <a:gsLst>
                  <a:gs pos="0">
                    <a:srgbClr val="3A608D"/>
                  </a:gs>
                  <a:gs pos="80000">
                    <a:srgbClr val="4C7CB7"/>
                  </a:gs>
                  <a:gs pos="100000">
                    <a:srgbClr val="4C7DB7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534A-4C16-B89F-BFC5606446CA}"/>
              </c:ext>
            </c:extLst>
          </c:dPt>
          <c:dPt>
            <c:idx val="7"/>
            <c:bubble3D val="0"/>
            <c:spPr>
              <a:gradFill>
                <a:gsLst>
                  <a:gs pos="0">
                    <a:srgbClr val="8F3B39"/>
                  </a:gs>
                  <a:gs pos="80000">
                    <a:srgbClr val="BA4D4A"/>
                  </a:gs>
                  <a:gs pos="100000">
                    <a:srgbClr val="BA4D4A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534A-4C16-B89F-BFC5606446CA}"/>
              </c:ext>
            </c:extLst>
          </c:dPt>
          <c:dPt>
            <c:idx val="8"/>
            <c:bubble3D val="0"/>
            <c:spPr>
              <a:gradFill>
                <a:gsLst>
                  <a:gs pos="0">
                    <a:srgbClr val="738B42"/>
                  </a:gs>
                  <a:gs pos="80000">
                    <a:srgbClr val="96B556"/>
                  </a:gs>
                  <a:gs pos="100000">
                    <a:srgbClr val="96B656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534A-4C16-B89F-BFC5606446CA}"/>
              </c:ext>
            </c:extLst>
          </c:dPt>
          <c:dPt>
            <c:idx val="9"/>
            <c:bubble3D val="0"/>
            <c:spPr>
              <a:gradFill>
                <a:gsLst>
                  <a:gs pos="0">
                    <a:srgbClr val="5F4A78"/>
                  </a:gs>
                  <a:gs pos="80000">
                    <a:srgbClr val="7C609C"/>
                  </a:gs>
                  <a:gs pos="100000">
                    <a:srgbClr val="7C619D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534A-4C16-B89F-BFC5606446CA}"/>
              </c:ext>
            </c:extLst>
          </c:dPt>
          <c:dPt>
            <c:idx val="10"/>
            <c:bubble3D val="0"/>
            <c:spPr>
              <a:gradFill>
                <a:gsLst>
                  <a:gs pos="0">
                    <a:srgbClr val="378093"/>
                  </a:gs>
                  <a:gs pos="80000">
                    <a:srgbClr val="48A6BF"/>
                  </a:gs>
                  <a:gs pos="100000">
                    <a:srgbClr val="49A7C0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534A-4C16-B89F-BFC5606446CA}"/>
              </c:ext>
            </c:extLst>
          </c:dPt>
          <c:dPt>
            <c:idx val="11"/>
            <c:bubble3D val="0"/>
            <c:spPr>
              <a:gradFill>
                <a:gsLst>
                  <a:gs pos="0">
                    <a:srgbClr val="B86F34"/>
                  </a:gs>
                  <a:gs pos="80000">
                    <a:srgbClr val="EF9143"/>
                  </a:gs>
                  <a:gs pos="100000">
                    <a:srgbClr val="F09244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534A-4C16-B89F-BFC5606446CA}"/>
              </c:ext>
            </c:extLst>
          </c:dPt>
          <c:dPt>
            <c:idx val="12"/>
            <c:bubble3D val="0"/>
            <c:spPr>
              <a:gradFill>
                <a:gsLst>
                  <a:gs pos="0">
                    <a:srgbClr val="7E8AA0"/>
                  </a:gs>
                  <a:gs pos="80000">
                    <a:srgbClr val="A4B4D0"/>
                  </a:gs>
                  <a:gs pos="100000">
                    <a:srgbClr val="A5B5D1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534A-4C16-B89F-BFC5606446CA}"/>
              </c:ext>
            </c:extLst>
          </c:dPt>
          <c:dPt>
            <c:idx val="13"/>
            <c:bubble3D val="0"/>
            <c:spPr>
              <a:gradFill>
                <a:gsLst>
                  <a:gs pos="0">
                    <a:srgbClr val="A17E7E"/>
                  </a:gs>
                  <a:gs pos="80000">
                    <a:srgbClr val="D1A4A3"/>
                  </a:gs>
                  <a:gs pos="100000">
                    <a:srgbClr val="D2A5A4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534A-4C16-B89F-BFC5606446CA}"/>
              </c:ext>
            </c:extLst>
          </c:dPt>
          <c:dPt>
            <c:idx val="14"/>
            <c:bubble3D val="0"/>
            <c:spPr>
              <a:gradFill>
                <a:gsLst>
                  <a:gs pos="0">
                    <a:srgbClr val="929F80"/>
                  </a:gs>
                  <a:gs pos="80000">
                    <a:srgbClr val="BECFA6"/>
                  </a:gs>
                  <a:gs pos="100000">
                    <a:srgbClr val="BFD0A7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534A-4C16-B89F-BFC5606446C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34A-4C16-B89F-BFC5606446C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34A-4C16-B89F-BFC5606446C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534A-4C16-B89F-BFC5606446C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534A-4C16-B89F-BFC5606446C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534A-4C16-B89F-BFC5606446C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534A-4C16-B89F-BFC5606446CA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534A-4C16-B89F-BFC5606446CA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534A-4C16-B89F-BFC5606446CA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534A-4C16-B89F-BFC5606446CA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534A-4C16-B89F-BFC5606446CA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5-534A-4C16-B89F-BFC5606446CA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7-534A-4C16-B89F-BFC5606446CA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9-534A-4C16-B89F-BFC5606446CA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B-534A-4C16-B89F-BFC5606446CA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D-534A-4C16-B89F-BFC5606446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'🔍 Detector Hormiga'!$B$16:$B$30</c:f>
              <c:strCache>
                <c:ptCount val="15"/>
                <c:pt idx="0">
                  <c:v>Cafeterías y bebidas</c:v>
                </c:pt>
                <c:pt idx="1">
                  <c:v>Comida rápida y antojitos</c:v>
                </c:pt>
                <c:pt idx="2">
                  <c:v>Supermercado y despensa</c:v>
                </c:pt>
                <c:pt idx="3">
                  <c:v>Transporte (taxi, valet, casetas)</c:v>
                </c:pt>
                <c:pt idx="4">
                  <c:v>Apps y suscripciones</c:v>
                </c:pt>
                <c:pt idx="5">
                  <c:v>Snacks y dulcerías</c:v>
                </c:pt>
                <c:pt idx="6">
                  <c:v>Compras de impulso online</c:v>
                </c:pt>
                <c:pt idx="7">
                  <c:v>Farmacia y salud</c:v>
                </c:pt>
                <c:pt idx="8">
                  <c:v>Entretenimiento y ocio</c:v>
                </c:pt>
                <c:pt idx="9">
                  <c:v>Otros gastos</c:v>
                </c:pt>
                <c:pt idx="10">
                  <c:v>Servicios (luz, agua, internet)</c:v>
                </c:pt>
                <c:pt idx="11">
                  <c:v>Créditos y mensualidades</c:v>
                </c:pt>
                <c:pt idx="12">
                  <c:v>Educación y cursos</c:v>
                </c:pt>
                <c:pt idx="13">
                  <c:v>Cigarros y vapeadores</c:v>
                </c:pt>
                <c:pt idx="14">
                  <c:v>Renta y alquiler</c:v>
                </c:pt>
              </c:strCache>
            </c:strRef>
          </c:cat>
          <c:val>
            <c:numRef>
              <c:f>'🔍 Detector Hormiga'!$C$16:$C$30</c:f>
              <c:numCache>
                <c:formatCode>\$#,##0</c:formatCode>
                <c:ptCount val="15"/>
                <c:pt idx="0">
                  <c:v>110</c:v>
                </c:pt>
                <c:pt idx="1">
                  <c:v>225</c:v>
                </c:pt>
                <c:pt idx="2">
                  <c:v>850</c:v>
                </c:pt>
                <c:pt idx="3">
                  <c:v>65</c:v>
                </c:pt>
                <c:pt idx="4">
                  <c:v>458</c:v>
                </c:pt>
                <c:pt idx="5">
                  <c:v>42</c:v>
                </c:pt>
                <c:pt idx="6">
                  <c:v>189</c:v>
                </c:pt>
                <c:pt idx="7">
                  <c:v>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105</c:v>
                </c:pt>
                <c:pt idx="14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34A-4C16-B89F-BFC560644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% de uso del presupuesto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Resumen Mensual'!$E$14</c:f>
              <c:strCache>
                <c:ptCount val="1"/>
                <c:pt idx="0">
                  <c:v>% Uso</c:v>
                </c:pt>
              </c:strCache>
            </c:strRef>
          </c:tx>
          <c:spPr>
            <a:solidFill>
              <a:srgbClr val="7B2FBE"/>
            </a:solidFill>
            <a:ln w="0">
              <a:solidFill>
                <a:srgbClr val="7B2FBE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Resumen Mensual'!$B$15:$B$29</c:f>
              <c:strCache>
                <c:ptCount val="15"/>
                <c:pt idx="0">
                  <c:v>Cafeterías y bebidas</c:v>
                </c:pt>
                <c:pt idx="1">
                  <c:v>Comida rápida y antojitos</c:v>
                </c:pt>
                <c:pt idx="2">
                  <c:v>Supermercado y despensa</c:v>
                </c:pt>
                <c:pt idx="3">
                  <c:v>Transporte (taxi, valet, casetas)</c:v>
                </c:pt>
                <c:pt idx="4">
                  <c:v>Apps y suscripciones</c:v>
                </c:pt>
                <c:pt idx="5">
                  <c:v>Snacks y dulcerías</c:v>
                </c:pt>
                <c:pt idx="6">
                  <c:v>Compras de impulso online</c:v>
                </c:pt>
                <c:pt idx="7">
                  <c:v>Farmacia y salud</c:v>
                </c:pt>
                <c:pt idx="8">
                  <c:v>Entretenimiento y ocio</c:v>
                </c:pt>
                <c:pt idx="9">
                  <c:v>Otros gastos</c:v>
                </c:pt>
                <c:pt idx="10">
                  <c:v>Servicios (luz, agua, internet)</c:v>
                </c:pt>
                <c:pt idx="11">
                  <c:v>Créditos y mensualidades</c:v>
                </c:pt>
                <c:pt idx="12">
                  <c:v>Educación y cursos</c:v>
                </c:pt>
                <c:pt idx="13">
                  <c:v>Cigarros y vapeadores</c:v>
                </c:pt>
                <c:pt idx="14">
                  <c:v>Renta y alquiler</c:v>
                </c:pt>
              </c:strCache>
            </c:strRef>
          </c:cat>
          <c:val>
            <c:numRef>
              <c:f>'📊 Resumen Mensual'!$E$15:$E$29</c:f>
              <c:numCache>
                <c:formatCode>0%</c:formatCode>
                <c:ptCount val="15"/>
                <c:pt idx="0">
                  <c:v>0.27500000000000002</c:v>
                </c:pt>
                <c:pt idx="1">
                  <c:v>0.22500000000000001</c:v>
                </c:pt>
                <c:pt idx="2">
                  <c:v>0.21249999999999999</c:v>
                </c:pt>
                <c:pt idx="3">
                  <c:v>0.32500000000000001</c:v>
                </c:pt>
                <c:pt idx="4">
                  <c:v>2.29</c:v>
                </c:pt>
                <c:pt idx="5">
                  <c:v>0.12</c:v>
                </c:pt>
                <c:pt idx="6">
                  <c:v>0.378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D-4A68-9FB3-08C8F0B3A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26281"/>
        <c:axId val="22729603"/>
      </c:barChart>
      <c:catAx>
        <c:axId val="9942628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% Uso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22729603"/>
        <c:crosses val="autoZero"/>
        <c:auto val="1"/>
        <c:lblAlgn val="ctr"/>
        <c:lblOffset val="100"/>
        <c:noMultiLvlLbl val="0"/>
      </c:catAx>
      <c:valAx>
        <c:axId val="2272960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994262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Flujo del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Resumen Mensual'!$C$4</c:f>
              <c:strCache>
                <c:ptCount val="1"/>
              </c:strCache>
            </c:strRef>
          </c:tx>
          <c:spPr>
            <a:solidFill>
              <a:srgbClr val="00B4D8"/>
            </a:solidFill>
            <a:ln w="0">
              <a:solidFill>
                <a:srgbClr val="00B4D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Resumen Mensual'!$B$5:$B$9</c:f>
              <c:strCache>
                <c:ptCount val="5"/>
                <c:pt idx="0">
                  <c:v>Ingreso neto mensual</c:v>
                </c:pt>
                <c:pt idx="1">
                  <c:v>Total gastado</c:v>
                </c:pt>
                <c:pt idx="2">
                  <c:v>Total en gastos hormiga</c:v>
                </c:pt>
                <c:pt idx="3">
                  <c:v>Saldo al final del mes</c:v>
                </c:pt>
                <c:pt idx="4">
                  <c:v>Meta de ahorro</c:v>
                </c:pt>
              </c:strCache>
            </c:strRef>
          </c:cat>
          <c:val>
            <c:numRef>
              <c:f>'📊 Resumen Mensual'!$C$5:$C$9</c:f>
              <c:numCache>
                <c:formatCode>\$#,##0</c:formatCode>
                <c:ptCount val="5"/>
                <c:pt idx="0">
                  <c:v>18000</c:v>
                </c:pt>
                <c:pt idx="1">
                  <c:v>5689</c:v>
                </c:pt>
                <c:pt idx="2">
                  <c:v>1040</c:v>
                </c:pt>
                <c:pt idx="3">
                  <c:v>12311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A-4635-B7F5-C56DFA12B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968641"/>
        <c:axId val="11912708"/>
      </c:barChart>
      <c:catAx>
        <c:axId val="889686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11912708"/>
        <c:crosses val="autoZero"/>
        <c:auto val="1"/>
        <c:lblAlgn val="ctr"/>
        <c:lblOffset val="100"/>
        <c:noMultiLvlLbl val="0"/>
      </c:catAx>
      <c:valAx>
        <c:axId val="119127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Monto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889686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8283</xdr:colOff>
      <xdr:row>1</xdr:row>
      <xdr:rowOff>16565</xdr:rowOff>
    </xdr:from>
    <xdr:to>
      <xdr:col>22</xdr:col>
      <xdr:colOff>51123</xdr:colOff>
      <xdr:row>20</xdr:row>
      <xdr:rowOff>60115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16566</xdr:colOff>
      <xdr:row>20</xdr:row>
      <xdr:rowOff>173935</xdr:rowOff>
    </xdr:from>
    <xdr:to>
      <xdr:col>16</xdr:col>
      <xdr:colOff>143646</xdr:colOff>
      <xdr:row>41</xdr:row>
      <xdr:rowOff>21600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180975</xdr:colOff>
      <xdr:row>15</xdr:row>
      <xdr:rowOff>152400</xdr:rowOff>
    </xdr:from>
    <xdr:to>
      <xdr:col>18</xdr:col>
      <xdr:colOff>123825</xdr:colOff>
      <xdr:row>38</xdr:row>
      <xdr:rowOff>9990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190499</xdr:colOff>
      <xdr:row>1</xdr:row>
      <xdr:rowOff>19050</xdr:rowOff>
    </xdr:from>
    <xdr:to>
      <xdr:col>18</xdr:col>
      <xdr:colOff>85725</xdr:colOff>
      <xdr:row>14</xdr:row>
      <xdr:rowOff>246420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2"/>
  <sheetViews>
    <sheetView showGridLines="0" tabSelected="1" zoomScale="145" zoomScaleNormal="145" workbookViewId="0">
      <selection activeCell="G30" sqref="G30"/>
    </sheetView>
  </sheetViews>
  <sheetFormatPr baseColWidth="10" defaultColWidth="8.7109375" defaultRowHeight="15" x14ac:dyDescent="0.25"/>
  <cols>
    <col min="1" max="1" width="3" customWidth="1"/>
    <col min="2" max="2" width="21" customWidth="1"/>
    <col min="3" max="3" width="26" customWidth="1"/>
    <col min="4" max="7" width="18" customWidth="1"/>
    <col min="8" max="8" width="3" customWidth="1"/>
  </cols>
  <sheetData>
    <row r="1" spans="2:7" ht="7.5" customHeight="1" x14ac:dyDescent="0.25"/>
    <row r="2" spans="2:7" ht="39.75" customHeight="1" x14ac:dyDescent="0.25">
      <c r="B2" s="10" t="s">
        <v>0</v>
      </c>
      <c r="C2" s="10"/>
      <c r="D2" s="10"/>
      <c r="E2" s="10"/>
      <c r="F2" s="10"/>
      <c r="G2" s="10"/>
    </row>
    <row r="3" spans="2:7" ht="21.75" customHeight="1" x14ac:dyDescent="0.25">
      <c r="B3" s="103" t="s">
        <v>153</v>
      </c>
      <c r="C3" s="103"/>
      <c r="D3" s="103"/>
      <c r="E3" s="103"/>
      <c r="F3" s="103"/>
      <c r="G3" s="103"/>
    </row>
    <row r="5" spans="2:7" ht="27.75" customHeight="1" x14ac:dyDescent="0.25">
      <c r="B5" s="9" t="s">
        <v>1</v>
      </c>
      <c r="C5" s="9"/>
      <c r="D5" s="8" t="s">
        <v>2</v>
      </c>
      <c r="E5" s="8"/>
      <c r="F5" s="7" t="s">
        <v>3</v>
      </c>
      <c r="G5" s="7"/>
    </row>
    <row r="6" spans="2:7" ht="36" customHeight="1" x14ac:dyDescent="0.25">
      <c r="B6" s="6" t="s">
        <v>4</v>
      </c>
      <c r="C6" s="6"/>
      <c r="D6" s="6" t="s">
        <v>5</v>
      </c>
      <c r="E6" s="6"/>
      <c r="F6" s="6" t="s">
        <v>6</v>
      </c>
      <c r="G6" s="6"/>
    </row>
    <row r="8" spans="2:7" ht="13.5" customHeight="1" x14ac:dyDescent="0.25"/>
    <row r="9" spans="2:7" ht="21.75" customHeight="1" x14ac:dyDescent="0.25">
      <c r="B9" s="5" t="s">
        <v>7</v>
      </c>
      <c r="C9" s="5"/>
      <c r="D9" s="5"/>
      <c r="E9" s="5"/>
      <c r="F9" s="5"/>
      <c r="G9" s="5"/>
    </row>
    <row r="10" spans="2:7" ht="19.5" customHeight="1" x14ac:dyDescent="0.25">
      <c r="B10" s="14" t="s">
        <v>8</v>
      </c>
      <c r="C10" s="4" t="s">
        <v>9</v>
      </c>
      <c r="D10" s="4"/>
      <c r="E10" s="4"/>
      <c r="F10" s="4"/>
      <c r="G10" s="4"/>
    </row>
    <row r="11" spans="2:7" ht="19.5" customHeight="1" x14ac:dyDescent="0.25">
      <c r="B11" s="15" t="s">
        <v>10</v>
      </c>
      <c r="C11" s="3" t="s">
        <v>11</v>
      </c>
      <c r="D11" s="3"/>
      <c r="E11" s="3"/>
      <c r="F11" s="3"/>
      <c r="G11" s="3"/>
    </row>
    <row r="12" spans="2:7" ht="19.5" customHeight="1" x14ac:dyDescent="0.25">
      <c r="B12" s="16" t="s">
        <v>12</v>
      </c>
      <c r="C12" s="2" t="s">
        <v>13</v>
      </c>
      <c r="D12" s="2"/>
      <c r="E12" s="2"/>
      <c r="F12" s="2"/>
      <c r="G12" s="2"/>
    </row>
    <row r="13" spans="2:7" ht="19.5" customHeight="1" x14ac:dyDescent="0.25">
      <c r="B13" s="15" t="s">
        <v>14</v>
      </c>
      <c r="C13" s="1" t="s">
        <v>15</v>
      </c>
      <c r="D13" s="1"/>
      <c r="E13" s="1"/>
      <c r="F13" s="1"/>
      <c r="G13" s="1"/>
    </row>
    <row r="14" spans="2:7" ht="19.5" customHeight="1" x14ac:dyDescent="0.25">
      <c r="B14" s="16" t="s">
        <v>16</v>
      </c>
      <c r="C14" s="2" t="s">
        <v>17</v>
      </c>
      <c r="D14" s="2"/>
      <c r="E14" s="2"/>
      <c r="F14" s="2"/>
      <c r="G14" s="2"/>
    </row>
    <row r="16" spans="2:7" ht="27.75" customHeight="1" x14ac:dyDescent="0.25">
      <c r="B16" s="89" t="s">
        <v>18</v>
      </c>
      <c r="C16" s="89"/>
      <c r="D16" s="89"/>
      <c r="E16" s="89"/>
      <c r="F16" s="89"/>
      <c r="G16" s="89"/>
    </row>
    <row r="18" spans="2:4" ht="21.75" customHeight="1" x14ac:dyDescent="0.25">
      <c r="B18" s="9" t="s">
        <v>19</v>
      </c>
      <c r="C18" s="9"/>
      <c r="D18" s="9"/>
    </row>
    <row r="20" spans="2:4" ht="15.75" customHeight="1" x14ac:dyDescent="0.25">
      <c r="B20" s="17" t="s">
        <v>20</v>
      </c>
    </row>
    <row r="21" spans="2:4" ht="15" customHeight="1" x14ac:dyDescent="0.25">
      <c r="B21" s="18" t="s">
        <v>21</v>
      </c>
      <c r="C21" s="19" t="s">
        <v>22</v>
      </c>
    </row>
    <row r="22" spans="2:4" ht="15" customHeight="1" x14ac:dyDescent="0.25">
      <c r="B22" s="18" t="s">
        <v>23</v>
      </c>
      <c r="C22" s="19" t="s">
        <v>24</v>
      </c>
    </row>
    <row r="23" spans="2:4" ht="15" customHeight="1" x14ac:dyDescent="0.25">
      <c r="B23" s="18" t="s">
        <v>25</v>
      </c>
      <c r="C23" s="19" t="s">
        <v>26</v>
      </c>
    </row>
    <row r="25" spans="2:4" ht="15.75" customHeight="1" x14ac:dyDescent="0.25">
      <c r="B25" s="20" t="s">
        <v>27</v>
      </c>
    </row>
    <row r="26" spans="2:4" ht="15" customHeight="1" x14ac:dyDescent="0.25">
      <c r="B26" s="18" t="s">
        <v>23</v>
      </c>
      <c r="C26" s="21" t="s">
        <v>28</v>
      </c>
    </row>
    <row r="27" spans="2:4" ht="15" customHeight="1" x14ac:dyDescent="0.25">
      <c r="B27" s="18" t="s">
        <v>29</v>
      </c>
      <c r="C27" s="19" t="s">
        <v>30</v>
      </c>
    </row>
    <row r="28" spans="2:4" ht="15" customHeight="1" x14ac:dyDescent="0.25">
      <c r="B28" s="18" t="s">
        <v>31</v>
      </c>
      <c r="C28" s="19" t="s">
        <v>32</v>
      </c>
    </row>
    <row r="29" spans="2:4" ht="15" customHeight="1" x14ac:dyDescent="0.25">
      <c r="B29" s="18" t="s">
        <v>21</v>
      </c>
      <c r="C29" s="19" t="s">
        <v>33</v>
      </c>
    </row>
    <row r="31" spans="2:4" ht="15" customHeight="1" x14ac:dyDescent="0.25">
      <c r="B31" s="22" t="s">
        <v>34</v>
      </c>
      <c r="C31" s="100" t="s">
        <v>35</v>
      </c>
    </row>
    <row r="32" spans="2:4" ht="15" customHeight="1" x14ac:dyDescent="0.25">
      <c r="C32" s="23"/>
    </row>
  </sheetData>
  <mergeCells count="16">
    <mergeCell ref="B18:D18"/>
    <mergeCell ref="C11:G11"/>
    <mergeCell ref="C12:G12"/>
    <mergeCell ref="C13:G13"/>
    <mergeCell ref="C14:G14"/>
    <mergeCell ref="B16:G16"/>
    <mergeCell ref="B6:C6"/>
    <mergeCell ref="D6:E6"/>
    <mergeCell ref="F6:G6"/>
    <mergeCell ref="B9:G9"/>
    <mergeCell ref="C10:G10"/>
    <mergeCell ref="B2:G2"/>
    <mergeCell ref="B3:G3"/>
    <mergeCell ref="B5:C5"/>
    <mergeCell ref="D5:E5"/>
    <mergeCell ref="F5:G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8"/>
  <sheetViews>
    <sheetView showGridLines="0" zoomScale="145" zoomScaleNormal="145" workbookViewId="0">
      <selection activeCell="B3" sqref="B3:E3"/>
    </sheetView>
  </sheetViews>
  <sheetFormatPr baseColWidth="10" defaultColWidth="8.7109375" defaultRowHeight="15" x14ac:dyDescent="0.25"/>
  <cols>
    <col min="1" max="1" width="3" customWidth="1"/>
    <col min="2" max="2" width="24" customWidth="1"/>
    <col min="3" max="3" width="40.5703125" customWidth="1"/>
    <col min="4" max="4" width="23.42578125" customWidth="1"/>
    <col min="5" max="5" width="14.28515625" customWidth="1"/>
    <col min="6" max="6" width="3" customWidth="1"/>
  </cols>
  <sheetData>
    <row r="2" spans="2:5" ht="36" customHeight="1" x14ac:dyDescent="0.25">
      <c r="B2" s="13" t="s">
        <v>36</v>
      </c>
      <c r="C2" s="13"/>
      <c r="D2" s="13"/>
      <c r="E2" s="13"/>
    </row>
    <row r="3" spans="2:5" ht="18" customHeight="1" x14ac:dyDescent="0.25">
      <c r="B3" s="102" t="s">
        <v>37</v>
      </c>
      <c r="C3" s="102"/>
      <c r="D3" s="102"/>
      <c r="E3" s="102"/>
    </row>
    <row r="5" spans="2:5" ht="18" customHeight="1" x14ac:dyDescent="0.25">
      <c r="B5" s="90" t="s">
        <v>38</v>
      </c>
      <c r="C5" s="90"/>
      <c r="D5" s="90"/>
      <c r="E5" s="90"/>
    </row>
    <row r="6" spans="2:5" ht="21.75" customHeight="1" x14ac:dyDescent="0.25">
      <c r="B6" s="24" t="s">
        <v>39</v>
      </c>
      <c r="C6" s="25" t="s">
        <v>40</v>
      </c>
      <c r="D6" s="26"/>
    </row>
    <row r="7" spans="2:5" ht="21.75" customHeight="1" x14ac:dyDescent="0.25">
      <c r="B7" s="24" t="s">
        <v>41</v>
      </c>
      <c r="C7" s="27">
        <v>45658</v>
      </c>
      <c r="D7" s="26"/>
    </row>
    <row r="8" spans="2:5" ht="21.75" customHeight="1" x14ac:dyDescent="0.25">
      <c r="B8" s="24" t="s">
        <v>42</v>
      </c>
      <c r="C8" s="28">
        <v>18000</v>
      </c>
      <c r="D8" s="26"/>
    </row>
    <row r="9" spans="2:5" ht="21.75" customHeight="1" x14ac:dyDescent="0.25">
      <c r="B9" s="24" t="s">
        <v>43</v>
      </c>
      <c r="C9" s="28">
        <v>2000</v>
      </c>
    </row>
    <row r="11" spans="2:5" ht="18" customHeight="1" x14ac:dyDescent="0.25">
      <c r="B11" s="107" t="s">
        <v>157</v>
      </c>
      <c r="C11" s="91"/>
      <c r="D11" s="91"/>
      <c r="E11" s="91"/>
    </row>
    <row r="12" spans="2:5" ht="15" customHeight="1" x14ac:dyDescent="0.25">
      <c r="B12" s="29" t="s">
        <v>44</v>
      </c>
      <c r="C12" s="29" t="s">
        <v>45</v>
      </c>
      <c r="D12" s="29" t="s">
        <v>46</v>
      </c>
      <c r="E12" s="29" t="s">
        <v>47</v>
      </c>
    </row>
    <row r="13" spans="2:5" ht="19.5" customHeight="1" x14ac:dyDescent="0.25">
      <c r="B13" s="30" t="s">
        <v>48</v>
      </c>
      <c r="C13" s="31" t="s">
        <v>49</v>
      </c>
      <c r="D13" s="32">
        <v>400</v>
      </c>
      <c r="E13" s="33" t="s">
        <v>50</v>
      </c>
    </row>
    <row r="14" spans="2:5" ht="19.5" customHeight="1" x14ac:dyDescent="0.25">
      <c r="B14" s="34" t="s">
        <v>51</v>
      </c>
      <c r="C14" s="35" t="s">
        <v>52</v>
      </c>
      <c r="D14" s="32">
        <v>1000</v>
      </c>
      <c r="E14" s="36" t="s">
        <v>53</v>
      </c>
    </row>
    <row r="15" spans="2:5" ht="19.5" customHeight="1" x14ac:dyDescent="0.25">
      <c r="B15" s="30" t="s">
        <v>54</v>
      </c>
      <c r="C15" s="31" t="s">
        <v>55</v>
      </c>
      <c r="D15" s="32">
        <v>4000</v>
      </c>
      <c r="E15" s="33" t="s">
        <v>56</v>
      </c>
    </row>
    <row r="16" spans="2:5" ht="19.5" customHeight="1" x14ac:dyDescent="0.25">
      <c r="B16" s="34" t="s">
        <v>57</v>
      </c>
      <c r="C16" s="35" t="s">
        <v>58</v>
      </c>
      <c r="D16" s="32">
        <v>200</v>
      </c>
      <c r="E16" s="36" t="s">
        <v>59</v>
      </c>
    </row>
    <row r="17" spans="2:5" ht="19.5" customHeight="1" x14ac:dyDescent="0.25">
      <c r="B17" s="30" t="s">
        <v>60</v>
      </c>
      <c r="C17" s="35" t="s">
        <v>61</v>
      </c>
      <c r="D17" s="32">
        <v>200</v>
      </c>
      <c r="E17" s="33" t="s">
        <v>62</v>
      </c>
    </row>
    <row r="18" spans="2:5" ht="19.5" customHeight="1" x14ac:dyDescent="0.25">
      <c r="B18" s="34" t="s">
        <v>63</v>
      </c>
      <c r="C18" s="35" t="s">
        <v>64</v>
      </c>
      <c r="D18" s="32">
        <v>350</v>
      </c>
      <c r="E18" s="36" t="s">
        <v>65</v>
      </c>
    </row>
    <row r="19" spans="2:5" ht="19.5" customHeight="1" x14ac:dyDescent="0.25">
      <c r="B19" s="30" t="s">
        <v>66</v>
      </c>
      <c r="C19" s="31" t="s">
        <v>67</v>
      </c>
      <c r="D19" s="32">
        <v>500</v>
      </c>
      <c r="E19" s="33" t="s">
        <v>68</v>
      </c>
    </row>
    <row r="20" spans="2:5" ht="19.5" customHeight="1" x14ac:dyDescent="0.25">
      <c r="B20" s="34" t="s">
        <v>69</v>
      </c>
      <c r="C20" s="31" t="s">
        <v>70</v>
      </c>
      <c r="D20" s="32">
        <v>0</v>
      </c>
      <c r="E20" s="36" t="s">
        <v>71</v>
      </c>
    </row>
    <row r="21" spans="2:5" ht="19.5" customHeight="1" x14ac:dyDescent="0.25">
      <c r="B21" s="30" t="s">
        <v>72</v>
      </c>
      <c r="C21" s="31" t="s">
        <v>73</v>
      </c>
      <c r="D21" s="32">
        <v>1000</v>
      </c>
      <c r="E21" s="33" t="s">
        <v>74</v>
      </c>
    </row>
    <row r="22" spans="2:5" ht="19.5" customHeight="1" x14ac:dyDescent="0.25">
      <c r="B22" s="34" t="s">
        <v>75</v>
      </c>
      <c r="C22" s="35" t="s">
        <v>76</v>
      </c>
      <c r="D22" s="32">
        <v>1500</v>
      </c>
      <c r="E22" s="36" t="s">
        <v>77</v>
      </c>
    </row>
    <row r="23" spans="2:5" ht="19.5" customHeight="1" x14ac:dyDescent="0.25">
      <c r="B23" s="34" t="s">
        <v>78</v>
      </c>
      <c r="C23" s="31" t="s">
        <v>79</v>
      </c>
      <c r="D23" s="32">
        <v>1150</v>
      </c>
      <c r="E23" s="36" t="s">
        <v>80</v>
      </c>
    </row>
    <row r="24" spans="2:5" ht="19.5" customHeight="1" x14ac:dyDescent="0.25">
      <c r="B24" s="34" t="s">
        <v>81</v>
      </c>
      <c r="C24" s="35" t="s">
        <v>82</v>
      </c>
      <c r="D24" s="32">
        <v>2500</v>
      </c>
      <c r="E24" s="36" t="s">
        <v>83</v>
      </c>
    </row>
    <row r="25" spans="2:5" ht="19.5" customHeight="1" x14ac:dyDescent="0.25">
      <c r="B25" s="34" t="s">
        <v>84</v>
      </c>
      <c r="C25" s="31" t="s">
        <v>85</v>
      </c>
      <c r="D25" s="32">
        <v>0</v>
      </c>
      <c r="E25" s="36" t="s">
        <v>86</v>
      </c>
    </row>
    <row r="26" spans="2:5" ht="19.5" customHeight="1" x14ac:dyDescent="0.25">
      <c r="B26" s="34" t="s">
        <v>87</v>
      </c>
      <c r="C26" s="35" t="s">
        <v>88</v>
      </c>
      <c r="D26" s="32">
        <v>0</v>
      </c>
      <c r="E26" s="36" t="s">
        <v>89</v>
      </c>
    </row>
    <row r="27" spans="2:5" ht="19.5" customHeight="1" x14ac:dyDescent="0.25">
      <c r="B27" s="34" t="s">
        <v>90</v>
      </c>
      <c r="C27" s="31" t="s">
        <v>91</v>
      </c>
      <c r="D27" s="32">
        <v>2000</v>
      </c>
      <c r="E27" s="36" t="s">
        <v>92</v>
      </c>
    </row>
    <row r="28" spans="2:5" ht="15" customHeight="1" x14ac:dyDescent="0.25">
      <c r="C28" s="37" t="s">
        <v>93</v>
      </c>
      <c r="D28" s="38">
        <f>SUM(D13:D27)</f>
        <v>14800</v>
      </c>
    </row>
  </sheetData>
  <mergeCells count="4">
    <mergeCell ref="B2:E2"/>
    <mergeCell ref="B3:E3"/>
    <mergeCell ref="B5:E5"/>
    <mergeCell ref="B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4"/>
  <sheetViews>
    <sheetView showGridLines="0" zoomScale="130" zoomScaleNormal="130" workbookViewId="0">
      <pane ySplit="3" topLeftCell="A4" activePane="bottomLeft" state="frozen"/>
      <selection pane="bottomLeft" activeCell="I7" sqref="I7"/>
    </sheetView>
  </sheetViews>
  <sheetFormatPr baseColWidth="10" defaultColWidth="8.7109375" defaultRowHeight="15" x14ac:dyDescent="0.25"/>
  <cols>
    <col min="1" max="1" width="10.140625" customWidth="1"/>
    <col min="2" max="2" width="34.5703125" customWidth="1"/>
    <col min="3" max="3" width="26.140625" customWidth="1"/>
    <col min="4" max="4" width="12.5703125" customWidth="1"/>
    <col min="5" max="5" width="18.140625" bestFit="1" customWidth="1"/>
    <col min="6" max="6" width="26.42578125" bestFit="1" customWidth="1"/>
    <col min="8" max="8" width="22" customWidth="1"/>
  </cols>
  <sheetData>
    <row r="1" spans="1:8" ht="36" customHeight="1" x14ac:dyDescent="0.25">
      <c r="A1" s="92" t="s">
        <v>94</v>
      </c>
      <c r="B1" s="92"/>
      <c r="C1" s="92"/>
      <c r="D1" s="92"/>
      <c r="E1" s="92"/>
      <c r="F1" s="92"/>
    </row>
    <row r="2" spans="1:8" ht="27.75" customHeight="1" x14ac:dyDescent="0.25">
      <c r="A2" s="106" t="s">
        <v>156</v>
      </c>
      <c r="B2" s="106"/>
      <c r="C2" s="106"/>
      <c r="D2" s="106"/>
      <c r="E2" s="106"/>
      <c r="F2" s="106"/>
      <c r="H2" s="39"/>
    </row>
    <row r="3" spans="1:8" ht="21.75" customHeight="1" x14ac:dyDescent="0.25">
      <c r="A3" s="40" t="s">
        <v>95</v>
      </c>
      <c r="B3" s="40" t="s">
        <v>96</v>
      </c>
      <c r="C3" s="40" t="s">
        <v>97</v>
      </c>
      <c r="D3" s="40" t="s">
        <v>98</v>
      </c>
      <c r="E3" s="41" t="s">
        <v>99</v>
      </c>
      <c r="F3" s="41" t="s">
        <v>100</v>
      </c>
    </row>
    <row r="4" spans="1:8" ht="19.5" customHeight="1" x14ac:dyDescent="0.25">
      <c r="A4" s="42">
        <v>45658</v>
      </c>
      <c r="B4" s="43" t="s">
        <v>101</v>
      </c>
      <c r="C4" s="44" t="s">
        <v>91</v>
      </c>
      <c r="D4" s="45">
        <v>3500</v>
      </c>
      <c r="E4" s="46"/>
      <c r="F4" s="47" t="str">
        <f t="shared" ref="F4:F35" si="0">IF(D4="","",IF(AND(D4&gt;0,D4&lt;200),"SÍ","No"))</f>
        <v>No</v>
      </c>
    </row>
    <row r="5" spans="1:8" ht="19.5" customHeight="1" x14ac:dyDescent="0.25">
      <c r="A5" s="42">
        <v>45659</v>
      </c>
      <c r="B5" s="43" t="s">
        <v>102</v>
      </c>
      <c r="C5" s="44" t="s">
        <v>49</v>
      </c>
      <c r="D5" s="45">
        <v>85</v>
      </c>
      <c r="E5" s="48"/>
      <c r="F5" s="49" t="str">
        <f t="shared" si="0"/>
        <v>SÍ</v>
      </c>
    </row>
    <row r="6" spans="1:8" ht="19.5" customHeight="1" x14ac:dyDescent="0.25">
      <c r="A6" s="42">
        <v>45659</v>
      </c>
      <c r="B6" s="43" t="s">
        <v>103</v>
      </c>
      <c r="C6" s="44" t="s">
        <v>58</v>
      </c>
      <c r="D6" s="45">
        <v>65</v>
      </c>
      <c r="E6" s="46"/>
      <c r="F6" s="47" t="str">
        <f t="shared" si="0"/>
        <v>SÍ</v>
      </c>
    </row>
    <row r="7" spans="1:8" ht="19.5" customHeight="1" x14ac:dyDescent="0.25">
      <c r="A7" s="42">
        <v>45660</v>
      </c>
      <c r="B7" s="43" t="s">
        <v>104</v>
      </c>
      <c r="C7" s="44" t="s">
        <v>64</v>
      </c>
      <c r="D7" s="45">
        <v>42</v>
      </c>
      <c r="E7" s="48"/>
      <c r="F7" s="49" t="str">
        <f t="shared" si="0"/>
        <v>SÍ</v>
      </c>
    </row>
    <row r="8" spans="1:8" ht="19.5" customHeight="1" x14ac:dyDescent="0.25">
      <c r="A8" s="42">
        <v>45660</v>
      </c>
      <c r="B8" s="43" t="s">
        <v>105</v>
      </c>
      <c r="C8" s="44" t="s">
        <v>61</v>
      </c>
      <c r="D8" s="45">
        <v>299</v>
      </c>
      <c r="E8" s="46"/>
      <c r="F8" s="47" t="str">
        <f t="shared" si="0"/>
        <v>No</v>
      </c>
    </row>
    <row r="9" spans="1:8" ht="19.5" customHeight="1" x14ac:dyDescent="0.25">
      <c r="A9" s="42">
        <v>45661</v>
      </c>
      <c r="B9" s="50" t="s">
        <v>106</v>
      </c>
      <c r="C9" s="44" t="s">
        <v>52</v>
      </c>
      <c r="D9" s="45">
        <v>90</v>
      </c>
      <c r="E9" s="48"/>
      <c r="F9" s="49" t="str">
        <f t="shared" si="0"/>
        <v>SÍ</v>
      </c>
    </row>
    <row r="10" spans="1:8" ht="19.5" customHeight="1" x14ac:dyDescent="0.25">
      <c r="A10" s="42">
        <v>45662</v>
      </c>
      <c r="B10" s="50" t="s">
        <v>107</v>
      </c>
      <c r="C10" s="44" t="s">
        <v>49</v>
      </c>
      <c r="D10" s="45">
        <v>25</v>
      </c>
      <c r="E10" s="46"/>
      <c r="F10" s="47" t="str">
        <f t="shared" si="0"/>
        <v>SÍ</v>
      </c>
    </row>
    <row r="11" spans="1:8" ht="19.5" customHeight="1" x14ac:dyDescent="0.25">
      <c r="A11" s="42">
        <v>45662</v>
      </c>
      <c r="B11" s="50" t="s">
        <v>108</v>
      </c>
      <c r="C11" s="44" t="s">
        <v>55</v>
      </c>
      <c r="D11" s="45">
        <v>850</v>
      </c>
      <c r="E11" s="48"/>
      <c r="F11" s="49" t="str">
        <f t="shared" si="0"/>
        <v>No</v>
      </c>
    </row>
    <row r="12" spans="1:8" ht="19.5" customHeight="1" x14ac:dyDescent="0.25">
      <c r="A12" s="42">
        <v>45663</v>
      </c>
      <c r="B12" s="50" t="s">
        <v>109</v>
      </c>
      <c r="C12" s="44" t="s">
        <v>67</v>
      </c>
      <c r="D12" s="45">
        <v>189</v>
      </c>
      <c r="E12" s="46"/>
      <c r="F12" s="47" t="str">
        <f t="shared" si="0"/>
        <v>SÍ</v>
      </c>
    </row>
    <row r="13" spans="1:8" ht="19.5" customHeight="1" x14ac:dyDescent="0.25">
      <c r="A13" s="42">
        <v>45664</v>
      </c>
      <c r="B13" s="50" t="s">
        <v>110</v>
      </c>
      <c r="C13" s="44" t="s">
        <v>70</v>
      </c>
      <c r="D13" s="45">
        <v>145</v>
      </c>
      <c r="E13" s="48"/>
      <c r="F13" s="49" t="str">
        <f t="shared" si="0"/>
        <v>SÍ</v>
      </c>
    </row>
    <row r="14" spans="1:8" ht="19.5" customHeight="1" x14ac:dyDescent="0.25">
      <c r="A14" s="42">
        <v>45665</v>
      </c>
      <c r="B14" s="50" t="s">
        <v>111</v>
      </c>
      <c r="C14" s="44" t="s">
        <v>61</v>
      </c>
      <c r="D14" s="45">
        <v>159</v>
      </c>
      <c r="E14" s="46"/>
      <c r="F14" s="47" t="str">
        <f t="shared" si="0"/>
        <v>SÍ</v>
      </c>
    </row>
    <row r="15" spans="1:8" ht="19.5" customHeight="1" x14ac:dyDescent="0.25">
      <c r="A15" s="42">
        <v>45667</v>
      </c>
      <c r="B15" s="50" t="s">
        <v>112</v>
      </c>
      <c r="C15" s="44" t="s">
        <v>52</v>
      </c>
      <c r="D15" s="45">
        <v>135</v>
      </c>
      <c r="E15" s="48"/>
      <c r="F15" s="49" t="str">
        <f t="shared" si="0"/>
        <v>SÍ</v>
      </c>
    </row>
    <row r="16" spans="1:8" ht="19.5" customHeight="1" x14ac:dyDescent="0.25">
      <c r="A16" s="42">
        <v>45668</v>
      </c>
      <c r="B16" s="105" t="s">
        <v>155</v>
      </c>
      <c r="C16" s="44" t="s">
        <v>88</v>
      </c>
      <c r="D16" s="45">
        <v>105</v>
      </c>
      <c r="E16" s="46"/>
      <c r="F16" s="47" t="str">
        <f t="shared" si="0"/>
        <v>SÍ</v>
      </c>
    </row>
    <row r="17" spans="1:6" ht="19.5" customHeight="1" x14ac:dyDescent="0.25">
      <c r="A17" s="42"/>
      <c r="B17" s="50"/>
      <c r="C17" s="44"/>
      <c r="D17" s="45"/>
      <c r="E17" s="48"/>
      <c r="F17" s="49" t="str">
        <f t="shared" si="0"/>
        <v/>
      </c>
    </row>
    <row r="18" spans="1:6" ht="19.5" customHeight="1" x14ac:dyDescent="0.25">
      <c r="A18" s="42"/>
      <c r="B18" s="50"/>
      <c r="C18" s="44"/>
      <c r="D18" s="45"/>
      <c r="E18" s="46"/>
      <c r="F18" s="47" t="str">
        <f t="shared" si="0"/>
        <v/>
      </c>
    </row>
    <row r="19" spans="1:6" ht="19.5" customHeight="1" x14ac:dyDescent="0.25">
      <c r="A19" s="42"/>
      <c r="B19" s="50"/>
      <c r="C19" s="44"/>
      <c r="D19" s="45"/>
      <c r="E19" s="48"/>
      <c r="F19" s="49" t="str">
        <f t="shared" si="0"/>
        <v/>
      </c>
    </row>
    <row r="20" spans="1:6" ht="19.5" customHeight="1" x14ac:dyDescent="0.25">
      <c r="A20" s="42"/>
      <c r="B20" s="50"/>
      <c r="C20" s="44"/>
      <c r="D20" s="45"/>
      <c r="E20" s="46"/>
      <c r="F20" s="47" t="str">
        <f t="shared" si="0"/>
        <v/>
      </c>
    </row>
    <row r="21" spans="1:6" ht="19.5" customHeight="1" x14ac:dyDescent="0.25">
      <c r="A21" s="42"/>
      <c r="B21" s="50"/>
      <c r="C21" s="44"/>
      <c r="D21" s="45"/>
      <c r="E21" s="48"/>
      <c r="F21" s="49" t="str">
        <f t="shared" si="0"/>
        <v/>
      </c>
    </row>
    <row r="22" spans="1:6" ht="19.5" customHeight="1" x14ac:dyDescent="0.25">
      <c r="A22" s="42"/>
      <c r="B22" s="50"/>
      <c r="C22" s="44"/>
      <c r="D22" s="45"/>
      <c r="E22" s="46"/>
      <c r="F22" s="47" t="str">
        <f t="shared" si="0"/>
        <v/>
      </c>
    </row>
    <row r="23" spans="1:6" ht="19.5" customHeight="1" x14ac:dyDescent="0.25">
      <c r="A23" s="42"/>
      <c r="B23" s="50"/>
      <c r="C23" s="44"/>
      <c r="D23" s="45"/>
      <c r="E23" s="48"/>
      <c r="F23" s="49" t="str">
        <f t="shared" si="0"/>
        <v/>
      </c>
    </row>
    <row r="24" spans="1:6" ht="19.5" customHeight="1" x14ac:dyDescent="0.25">
      <c r="A24" s="42"/>
      <c r="B24" s="50"/>
      <c r="C24" s="44"/>
      <c r="D24" s="45"/>
      <c r="E24" s="46"/>
      <c r="F24" s="47" t="str">
        <f t="shared" si="0"/>
        <v/>
      </c>
    </row>
    <row r="25" spans="1:6" ht="19.5" customHeight="1" x14ac:dyDescent="0.25">
      <c r="A25" s="42"/>
      <c r="B25" s="50"/>
      <c r="C25" s="44"/>
      <c r="D25" s="45"/>
      <c r="E25" s="48"/>
      <c r="F25" s="49" t="str">
        <f t="shared" si="0"/>
        <v/>
      </c>
    </row>
    <row r="26" spans="1:6" ht="19.5" customHeight="1" x14ac:dyDescent="0.25">
      <c r="A26" s="42"/>
      <c r="B26" s="50"/>
      <c r="C26" s="44"/>
      <c r="D26" s="45"/>
      <c r="E26" s="46"/>
      <c r="F26" s="47" t="str">
        <f t="shared" si="0"/>
        <v/>
      </c>
    </row>
    <row r="27" spans="1:6" ht="19.5" customHeight="1" x14ac:dyDescent="0.25">
      <c r="A27" s="42"/>
      <c r="B27" s="50"/>
      <c r="C27" s="44"/>
      <c r="D27" s="45"/>
      <c r="E27" s="48"/>
      <c r="F27" s="49" t="str">
        <f t="shared" si="0"/>
        <v/>
      </c>
    </row>
    <row r="28" spans="1:6" ht="19.5" customHeight="1" x14ac:dyDescent="0.25">
      <c r="A28" s="42"/>
      <c r="B28" s="50"/>
      <c r="C28" s="44"/>
      <c r="D28" s="45"/>
      <c r="E28" s="46"/>
      <c r="F28" s="47" t="str">
        <f t="shared" si="0"/>
        <v/>
      </c>
    </row>
    <row r="29" spans="1:6" ht="19.5" customHeight="1" x14ac:dyDescent="0.25">
      <c r="A29" s="42"/>
      <c r="B29" s="50"/>
      <c r="C29" s="44"/>
      <c r="D29" s="45"/>
      <c r="E29" s="48"/>
      <c r="F29" s="49" t="str">
        <f t="shared" si="0"/>
        <v/>
      </c>
    </row>
    <row r="30" spans="1:6" ht="19.5" customHeight="1" x14ac:dyDescent="0.25">
      <c r="A30" s="42"/>
      <c r="B30" s="50"/>
      <c r="C30" s="44"/>
      <c r="D30" s="45"/>
      <c r="E30" s="46"/>
      <c r="F30" s="47" t="str">
        <f t="shared" si="0"/>
        <v/>
      </c>
    </row>
    <row r="31" spans="1:6" ht="19.5" customHeight="1" x14ac:dyDescent="0.25">
      <c r="A31" s="42"/>
      <c r="B31" s="50"/>
      <c r="C31" s="44"/>
      <c r="D31" s="45"/>
      <c r="E31" s="48"/>
      <c r="F31" s="49" t="str">
        <f t="shared" si="0"/>
        <v/>
      </c>
    </row>
    <row r="32" spans="1:6" ht="19.5" customHeight="1" x14ac:dyDescent="0.25">
      <c r="A32" s="42"/>
      <c r="B32" s="50"/>
      <c r="C32" s="44"/>
      <c r="D32" s="45"/>
      <c r="E32" s="46"/>
      <c r="F32" s="47" t="str">
        <f t="shared" si="0"/>
        <v/>
      </c>
    </row>
    <row r="33" spans="1:6" ht="19.5" customHeight="1" x14ac:dyDescent="0.25">
      <c r="A33" s="42"/>
      <c r="B33" s="50"/>
      <c r="C33" s="44"/>
      <c r="D33" s="45"/>
      <c r="E33" s="48"/>
      <c r="F33" s="49" t="str">
        <f t="shared" si="0"/>
        <v/>
      </c>
    </row>
    <row r="34" spans="1:6" ht="19.5" customHeight="1" x14ac:dyDescent="0.25">
      <c r="A34" s="42"/>
      <c r="B34" s="50"/>
      <c r="C34" s="44"/>
      <c r="D34" s="45"/>
      <c r="E34" s="46"/>
      <c r="F34" s="47" t="str">
        <f t="shared" si="0"/>
        <v/>
      </c>
    </row>
    <row r="35" spans="1:6" ht="19.5" customHeight="1" x14ac:dyDescent="0.25">
      <c r="A35" s="42"/>
      <c r="B35" s="50"/>
      <c r="C35" s="44"/>
      <c r="D35" s="45"/>
      <c r="E35" s="48"/>
      <c r="F35" s="49" t="str">
        <f t="shared" si="0"/>
        <v/>
      </c>
    </row>
    <row r="36" spans="1:6" ht="19.5" customHeight="1" x14ac:dyDescent="0.25">
      <c r="A36" s="42"/>
      <c r="B36" s="50"/>
      <c r="C36" s="44"/>
      <c r="D36" s="45"/>
      <c r="E36" s="46"/>
      <c r="F36" s="47" t="str">
        <f t="shared" ref="F36:F67" si="1">IF(D36="","",IF(AND(D36&gt;0,D36&lt;200),"SÍ","No"))</f>
        <v/>
      </c>
    </row>
    <row r="37" spans="1:6" ht="19.5" customHeight="1" x14ac:dyDescent="0.25">
      <c r="A37" s="42"/>
      <c r="B37" s="50"/>
      <c r="C37" s="44"/>
      <c r="D37" s="45"/>
      <c r="E37" s="48"/>
      <c r="F37" s="49" t="str">
        <f t="shared" si="1"/>
        <v/>
      </c>
    </row>
    <row r="38" spans="1:6" ht="19.5" customHeight="1" x14ac:dyDescent="0.25">
      <c r="A38" s="42"/>
      <c r="B38" s="50"/>
      <c r="C38" s="44"/>
      <c r="D38" s="45"/>
      <c r="E38" s="46"/>
      <c r="F38" s="47" t="str">
        <f t="shared" si="1"/>
        <v/>
      </c>
    </row>
    <row r="39" spans="1:6" ht="19.5" customHeight="1" x14ac:dyDescent="0.25">
      <c r="A39" s="42"/>
      <c r="B39" s="50"/>
      <c r="C39" s="44"/>
      <c r="D39" s="45"/>
      <c r="E39" s="48"/>
      <c r="F39" s="49" t="str">
        <f t="shared" si="1"/>
        <v/>
      </c>
    </row>
    <row r="40" spans="1:6" ht="19.5" customHeight="1" x14ac:dyDescent="0.25">
      <c r="A40" s="42"/>
      <c r="B40" s="50"/>
      <c r="C40" s="44"/>
      <c r="D40" s="45"/>
      <c r="E40" s="46"/>
      <c r="F40" s="47" t="str">
        <f t="shared" si="1"/>
        <v/>
      </c>
    </row>
    <row r="41" spans="1:6" ht="19.5" customHeight="1" x14ac:dyDescent="0.25">
      <c r="A41" s="42"/>
      <c r="B41" s="50"/>
      <c r="C41" s="44"/>
      <c r="D41" s="45"/>
      <c r="E41" s="48"/>
      <c r="F41" s="49" t="str">
        <f t="shared" si="1"/>
        <v/>
      </c>
    </row>
    <row r="42" spans="1:6" ht="19.5" customHeight="1" x14ac:dyDescent="0.25">
      <c r="A42" s="42"/>
      <c r="B42" s="50"/>
      <c r="C42" s="44"/>
      <c r="D42" s="45"/>
      <c r="E42" s="46"/>
      <c r="F42" s="47" t="str">
        <f t="shared" si="1"/>
        <v/>
      </c>
    </row>
    <row r="43" spans="1:6" ht="19.5" customHeight="1" x14ac:dyDescent="0.25">
      <c r="A43" s="42"/>
      <c r="B43" s="50"/>
      <c r="C43" s="44"/>
      <c r="D43" s="45"/>
      <c r="E43" s="48"/>
      <c r="F43" s="49" t="str">
        <f t="shared" si="1"/>
        <v/>
      </c>
    </row>
    <row r="44" spans="1:6" ht="19.5" customHeight="1" x14ac:dyDescent="0.25">
      <c r="A44" s="42"/>
      <c r="B44" s="50"/>
      <c r="C44" s="44"/>
      <c r="D44" s="45"/>
      <c r="E44" s="46"/>
      <c r="F44" s="47" t="str">
        <f t="shared" si="1"/>
        <v/>
      </c>
    </row>
    <row r="45" spans="1:6" ht="19.5" customHeight="1" x14ac:dyDescent="0.25">
      <c r="A45" s="42"/>
      <c r="B45" s="50"/>
      <c r="C45" s="44"/>
      <c r="D45" s="45"/>
      <c r="E45" s="48"/>
      <c r="F45" s="49" t="str">
        <f t="shared" si="1"/>
        <v/>
      </c>
    </row>
    <row r="46" spans="1:6" ht="19.5" customHeight="1" x14ac:dyDescent="0.25">
      <c r="A46" s="42"/>
      <c r="B46" s="50"/>
      <c r="C46" s="44"/>
      <c r="D46" s="45"/>
      <c r="E46" s="46"/>
      <c r="F46" s="47" t="str">
        <f t="shared" si="1"/>
        <v/>
      </c>
    </row>
    <row r="47" spans="1:6" ht="19.5" customHeight="1" x14ac:dyDescent="0.25">
      <c r="A47" s="42"/>
      <c r="B47" s="50"/>
      <c r="C47" s="44"/>
      <c r="D47" s="45"/>
      <c r="E47" s="48"/>
      <c r="F47" s="49" t="str">
        <f t="shared" si="1"/>
        <v/>
      </c>
    </row>
    <row r="48" spans="1:6" ht="19.5" customHeight="1" x14ac:dyDescent="0.25">
      <c r="A48" s="42"/>
      <c r="B48" s="50"/>
      <c r="C48" s="44"/>
      <c r="D48" s="45"/>
      <c r="E48" s="46"/>
      <c r="F48" s="47" t="str">
        <f t="shared" si="1"/>
        <v/>
      </c>
    </row>
    <row r="49" spans="1:6" ht="19.5" customHeight="1" x14ac:dyDescent="0.25">
      <c r="A49" s="42"/>
      <c r="B49" s="50"/>
      <c r="C49" s="44"/>
      <c r="D49" s="45"/>
      <c r="E49" s="48"/>
      <c r="F49" s="49" t="str">
        <f t="shared" si="1"/>
        <v/>
      </c>
    </row>
    <row r="50" spans="1:6" ht="19.5" customHeight="1" x14ac:dyDescent="0.25">
      <c r="A50" s="42"/>
      <c r="B50" s="50"/>
      <c r="C50" s="44"/>
      <c r="D50" s="45"/>
      <c r="E50" s="46"/>
      <c r="F50" s="47" t="str">
        <f t="shared" si="1"/>
        <v/>
      </c>
    </row>
    <row r="51" spans="1:6" ht="19.5" customHeight="1" x14ac:dyDescent="0.25">
      <c r="A51" s="42"/>
      <c r="B51" s="50"/>
      <c r="C51" s="44"/>
      <c r="D51" s="45"/>
      <c r="E51" s="48"/>
      <c r="F51" s="49" t="str">
        <f t="shared" si="1"/>
        <v/>
      </c>
    </row>
    <row r="52" spans="1:6" ht="19.5" customHeight="1" x14ac:dyDescent="0.25">
      <c r="A52" s="42"/>
      <c r="B52" s="50"/>
      <c r="C52" s="44"/>
      <c r="D52" s="45"/>
      <c r="E52" s="46"/>
      <c r="F52" s="47" t="str">
        <f t="shared" si="1"/>
        <v/>
      </c>
    </row>
    <row r="53" spans="1:6" ht="19.5" customHeight="1" x14ac:dyDescent="0.25">
      <c r="A53" s="42"/>
      <c r="B53" s="50"/>
      <c r="C53" s="44"/>
      <c r="D53" s="45"/>
      <c r="E53" s="48"/>
      <c r="F53" s="49" t="str">
        <f t="shared" si="1"/>
        <v/>
      </c>
    </row>
    <row r="54" spans="1:6" ht="19.5" customHeight="1" x14ac:dyDescent="0.25">
      <c r="A54" s="42"/>
      <c r="B54" s="50"/>
      <c r="C54" s="44"/>
      <c r="D54" s="45"/>
      <c r="E54" s="46"/>
      <c r="F54" s="47" t="str">
        <f t="shared" si="1"/>
        <v/>
      </c>
    </row>
    <row r="55" spans="1:6" ht="19.5" customHeight="1" x14ac:dyDescent="0.25">
      <c r="A55" s="42"/>
      <c r="B55" s="50"/>
      <c r="C55" s="44"/>
      <c r="D55" s="45"/>
      <c r="E55" s="48"/>
      <c r="F55" s="49" t="str">
        <f t="shared" si="1"/>
        <v/>
      </c>
    </row>
    <row r="56" spans="1:6" ht="19.5" customHeight="1" x14ac:dyDescent="0.25">
      <c r="A56" s="42"/>
      <c r="B56" s="50"/>
      <c r="C56" s="44"/>
      <c r="D56" s="45"/>
      <c r="E56" s="46"/>
      <c r="F56" s="47" t="str">
        <f t="shared" si="1"/>
        <v/>
      </c>
    </row>
    <row r="57" spans="1:6" ht="19.5" customHeight="1" x14ac:dyDescent="0.25">
      <c r="A57" s="42"/>
      <c r="B57" s="50"/>
      <c r="C57" s="44"/>
      <c r="D57" s="45"/>
      <c r="E57" s="48"/>
      <c r="F57" s="49" t="str">
        <f t="shared" si="1"/>
        <v/>
      </c>
    </row>
    <row r="58" spans="1:6" ht="19.5" customHeight="1" x14ac:dyDescent="0.25">
      <c r="A58" s="42"/>
      <c r="B58" s="50"/>
      <c r="C58" s="44"/>
      <c r="D58" s="45"/>
      <c r="E58" s="46"/>
      <c r="F58" s="47" t="str">
        <f t="shared" si="1"/>
        <v/>
      </c>
    </row>
    <row r="59" spans="1:6" ht="19.5" customHeight="1" x14ac:dyDescent="0.25">
      <c r="A59" s="42"/>
      <c r="B59" s="50"/>
      <c r="C59" s="44"/>
      <c r="D59" s="45"/>
      <c r="E59" s="48"/>
      <c r="F59" s="49" t="str">
        <f t="shared" si="1"/>
        <v/>
      </c>
    </row>
    <row r="60" spans="1:6" ht="19.5" customHeight="1" x14ac:dyDescent="0.25">
      <c r="A60" s="42"/>
      <c r="B60" s="50"/>
      <c r="C60" s="44"/>
      <c r="D60" s="45"/>
      <c r="E60" s="46"/>
      <c r="F60" s="47" t="str">
        <f t="shared" si="1"/>
        <v/>
      </c>
    </row>
    <row r="61" spans="1:6" ht="19.5" customHeight="1" x14ac:dyDescent="0.25">
      <c r="A61" s="42"/>
      <c r="B61" s="50"/>
      <c r="C61" s="44"/>
      <c r="D61" s="45"/>
      <c r="E61" s="48"/>
      <c r="F61" s="49" t="str">
        <f t="shared" si="1"/>
        <v/>
      </c>
    </row>
    <row r="62" spans="1:6" ht="19.5" customHeight="1" x14ac:dyDescent="0.25">
      <c r="A62" s="42"/>
      <c r="B62" s="50"/>
      <c r="C62" s="44"/>
      <c r="D62" s="45"/>
      <c r="E62" s="46"/>
      <c r="F62" s="47" t="str">
        <f t="shared" si="1"/>
        <v/>
      </c>
    </row>
    <row r="63" spans="1:6" ht="19.5" customHeight="1" x14ac:dyDescent="0.25">
      <c r="A63" s="42"/>
      <c r="B63" s="50"/>
      <c r="C63" s="44"/>
      <c r="D63" s="45"/>
      <c r="E63" s="48"/>
      <c r="F63" s="49" t="str">
        <f t="shared" si="1"/>
        <v/>
      </c>
    </row>
    <row r="64" spans="1:6" ht="24" customHeight="1" x14ac:dyDescent="0.25">
      <c r="A64" s="42"/>
      <c r="B64" s="50"/>
      <c r="C64" s="44"/>
      <c r="D64" s="45"/>
      <c r="E64" s="46"/>
      <c r="F64" s="47" t="str">
        <f t="shared" si="1"/>
        <v/>
      </c>
    </row>
    <row r="65" spans="1:6" ht="15" customHeight="1" x14ac:dyDescent="0.25">
      <c r="A65" s="42"/>
      <c r="B65" s="50"/>
      <c r="C65" s="44"/>
      <c r="D65" s="45"/>
      <c r="E65" s="46"/>
      <c r="F65" s="49" t="str">
        <f t="shared" si="1"/>
        <v/>
      </c>
    </row>
    <row r="66" spans="1:6" ht="15" customHeight="1" x14ac:dyDescent="0.25">
      <c r="A66" s="42"/>
      <c r="B66" s="50"/>
      <c r="C66" s="44"/>
      <c r="D66" s="45"/>
      <c r="E66" s="46"/>
      <c r="F66" s="47" t="str">
        <f t="shared" si="1"/>
        <v/>
      </c>
    </row>
    <row r="67" spans="1:6" ht="15" customHeight="1" x14ac:dyDescent="0.25">
      <c r="A67" s="42"/>
      <c r="B67" s="50"/>
      <c r="C67" s="44"/>
      <c r="D67" s="45"/>
      <c r="E67" s="46"/>
      <c r="F67" s="49" t="str">
        <f t="shared" si="1"/>
        <v/>
      </c>
    </row>
    <row r="68" spans="1:6" ht="15" customHeight="1" x14ac:dyDescent="0.25">
      <c r="A68" s="42"/>
      <c r="B68" s="50"/>
      <c r="C68" s="44"/>
      <c r="D68" s="45"/>
      <c r="E68" s="46"/>
      <c r="F68" s="47" t="str">
        <f t="shared" ref="F68:F93" si="2">IF(D68="","",IF(AND(D68&gt;0,D68&lt;200),"SÍ","No"))</f>
        <v/>
      </c>
    </row>
    <row r="69" spans="1:6" ht="15" customHeight="1" x14ac:dyDescent="0.25">
      <c r="A69" s="42"/>
      <c r="B69" s="50"/>
      <c r="C69" s="44"/>
      <c r="D69" s="45"/>
      <c r="E69" s="46"/>
      <c r="F69" s="49" t="str">
        <f t="shared" si="2"/>
        <v/>
      </c>
    </row>
    <row r="70" spans="1:6" ht="15" customHeight="1" x14ac:dyDescent="0.25">
      <c r="A70" s="42"/>
      <c r="B70" s="50"/>
      <c r="C70" s="44"/>
      <c r="D70" s="45"/>
      <c r="E70" s="46"/>
      <c r="F70" s="47" t="str">
        <f t="shared" si="2"/>
        <v/>
      </c>
    </row>
    <row r="71" spans="1:6" ht="15" customHeight="1" x14ac:dyDescent="0.25">
      <c r="A71" s="42"/>
      <c r="B71" s="50"/>
      <c r="C71" s="44"/>
      <c r="D71" s="45"/>
      <c r="E71" s="46"/>
      <c r="F71" s="49" t="str">
        <f t="shared" si="2"/>
        <v/>
      </c>
    </row>
    <row r="72" spans="1:6" ht="15" customHeight="1" x14ac:dyDescent="0.25">
      <c r="A72" s="42"/>
      <c r="B72" s="50"/>
      <c r="C72" s="44"/>
      <c r="D72" s="45"/>
      <c r="E72" s="46"/>
      <c r="F72" s="47" t="str">
        <f t="shared" si="2"/>
        <v/>
      </c>
    </row>
    <row r="73" spans="1:6" ht="15" customHeight="1" x14ac:dyDescent="0.25">
      <c r="A73" s="42"/>
      <c r="B73" s="50"/>
      <c r="C73" s="44"/>
      <c r="D73" s="45"/>
      <c r="E73" s="46"/>
      <c r="F73" s="49" t="str">
        <f t="shared" si="2"/>
        <v/>
      </c>
    </row>
    <row r="74" spans="1:6" ht="15" customHeight="1" x14ac:dyDescent="0.25">
      <c r="A74" s="42"/>
      <c r="B74" s="50"/>
      <c r="C74" s="44"/>
      <c r="D74" s="45"/>
      <c r="E74" s="46"/>
      <c r="F74" s="47" t="str">
        <f t="shared" si="2"/>
        <v/>
      </c>
    </row>
    <row r="75" spans="1:6" ht="15" customHeight="1" x14ac:dyDescent="0.25">
      <c r="A75" s="42"/>
      <c r="B75" s="50"/>
      <c r="C75" s="44"/>
      <c r="D75" s="45"/>
      <c r="E75" s="46"/>
      <c r="F75" s="49" t="str">
        <f t="shared" si="2"/>
        <v/>
      </c>
    </row>
    <row r="76" spans="1:6" ht="15" customHeight="1" x14ac:dyDescent="0.25">
      <c r="A76" s="42"/>
      <c r="B76" s="50"/>
      <c r="C76" s="44"/>
      <c r="D76" s="45"/>
      <c r="E76" s="46"/>
      <c r="F76" s="47" t="str">
        <f t="shared" si="2"/>
        <v/>
      </c>
    </row>
    <row r="77" spans="1:6" ht="15" customHeight="1" x14ac:dyDescent="0.25">
      <c r="A77" s="42"/>
      <c r="B77" s="50"/>
      <c r="C77" s="44"/>
      <c r="D77" s="45"/>
      <c r="E77" s="46"/>
      <c r="F77" s="49" t="str">
        <f t="shared" si="2"/>
        <v/>
      </c>
    </row>
    <row r="78" spans="1:6" ht="15" customHeight="1" x14ac:dyDescent="0.25">
      <c r="A78" s="42"/>
      <c r="B78" s="50"/>
      <c r="C78" s="44"/>
      <c r="D78" s="45"/>
      <c r="E78" s="46"/>
      <c r="F78" s="47" t="str">
        <f t="shared" si="2"/>
        <v/>
      </c>
    </row>
    <row r="79" spans="1:6" ht="15" customHeight="1" x14ac:dyDescent="0.25">
      <c r="A79" s="42"/>
      <c r="B79" s="50"/>
      <c r="C79" s="44"/>
      <c r="D79" s="45"/>
      <c r="E79" s="46"/>
      <c r="F79" s="49" t="str">
        <f t="shared" si="2"/>
        <v/>
      </c>
    </row>
    <row r="80" spans="1:6" ht="15" customHeight="1" x14ac:dyDescent="0.25">
      <c r="A80" s="42"/>
      <c r="B80" s="50"/>
      <c r="C80" s="44"/>
      <c r="D80" s="45"/>
      <c r="E80" s="46"/>
      <c r="F80" s="47" t="str">
        <f t="shared" si="2"/>
        <v/>
      </c>
    </row>
    <row r="81" spans="1:6" ht="15" customHeight="1" x14ac:dyDescent="0.25">
      <c r="A81" s="42"/>
      <c r="B81" s="50"/>
      <c r="C81" s="44"/>
      <c r="D81" s="45"/>
      <c r="E81" s="46"/>
      <c r="F81" s="49" t="str">
        <f t="shared" si="2"/>
        <v/>
      </c>
    </row>
    <row r="82" spans="1:6" ht="15" customHeight="1" x14ac:dyDescent="0.25">
      <c r="A82" s="42"/>
      <c r="B82" s="50"/>
      <c r="C82" s="44"/>
      <c r="D82" s="45"/>
      <c r="E82" s="46"/>
      <c r="F82" s="47" t="str">
        <f t="shared" si="2"/>
        <v/>
      </c>
    </row>
    <row r="83" spans="1:6" ht="15" customHeight="1" x14ac:dyDescent="0.25">
      <c r="A83" s="42"/>
      <c r="B83" s="50"/>
      <c r="C83" s="44"/>
      <c r="D83" s="45"/>
      <c r="E83" s="46"/>
      <c r="F83" s="49" t="str">
        <f t="shared" si="2"/>
        <v/>
      </c>
    </row>
    <row r="84" spans="1:6" ht="15" customHeight="1" x14ac:dyDescent="0.25">
      <c r="A84" s="42"/>
      <c r="B84" s="50"/>
      <c r="C84" s="44"/>
      <c r="D84" s="45"/>
      <c r="E84" s="46"/>
      <c r="F84" s="47" t="str">
        <f t="shared" si="2"/>
        <v/>
      </c>
    </row>
    <row r="85" spans="1:6" ht="15" customHeight="1" x14ac:dyDescent="0.25">
      <c r="A85" s="42"/>
      <c r="B85" s="50"/>
      <c r="C85" s="44"/>
      <c r="D85" s="45"/>
      <c r="E85" s="46"/>
      <c r="F85" s="49" t="str">
        <f t="shared" si="2"/>
        <v/>
      </c>
    </row>
    <row r="86" spans="1:6" ht="15" customHeight="1" x14ac:dyDescent="0.25">
      <c r="A86" s="42"/>
      <c r="B86" s="50"/>
      <c r="C86" s="44"/>
      <c r="D86" s="45"/>
      <c r="E86" s="46"/>
      <c r="F86" s="47" t="str">
        <f t="shared" si="2"/>
        <v/>
      </c>
    </row>
    <row r="87" spans="1:6" ht="15" customHeight="1" x14ac:dyDescent="0.25">
      <c r="A87" s="42"/>
      <c r="B87" s="50"/>
      <c r="C87" s="44"/>
      <c r="D87" s="45"/>
      <c r="E87" s="46"/>
      <c r="F87" s="49" t="str">
        <f t="shared" si="2"/>
        <v/>
      </c>
    </row>
    <row r="88" spans="1:6" ht="15" customHeight="1" x14ac:dyDescent="0.25">
      <c r="A88" s="42"/>
      <c r="B88" s="50"/>
      <c r="C88" s="44"/>
      <c r="D88" s="45"/>
      <c r="E88" s="46"/>
      <c r="F88" s="47" t="str">
        <f t="shared" si="2"/>
        <v/>
      </c>
    </row>
    <row r="89" spans="1:6" ht="15" customHeight="1" x14ac:dyDescent="0.25">
      <c r="A89" s="42"/>
      <c r="B89" s="50"/>
      <c r="C89" s="44"/>
      <c r="D89" s="45"/>
      <c r="E89" s="46"/>
      <c r="F89" s="49" t="str">
        <f t="shared" si="2"/>
        <v/>
      </c>
    </row>
    <row r="90" spans="1:6" ht="15" customHeight="1" x14ac:dyDescent="0.25">
      <c r="A90" s="42"/>
      <c r="B90" s="50"/>
      <c r="C90" s="44"/>
      <c r="D90" s="45"/>
      <c r="E90" s="46"/>
      <c r="F90" s="47" t="str">
        <f t="shared" si="2"/>
        <v/>
      </c>
    </row>
    <row r="91" spans="1:6" ht="15" customHeight="1" x14ac:dyDescent="0.25">
      <c r="A91" s="42"/>
      <c r="B91" s="50"/>
      <c r="C91" s="44"/>
      <c r="D91" s="45"/>
      <c r="E91" s="46"/>
      <c r="F91" s="49" t="str">
        <f t="shared" si="2"/>
        <v/>
      </c>
    </row>
    <row r="92" spans="1:6" ht="15" customHeight="1" x14ac:dyDescent="0.25">
      <c r="A92" s="42"/>
      <c r="B92" s="50"/>
      <c r="C92" s="44"/>
      <c r="D92" s="45"/>
      <c r="E92" s="46"/>
      <c r="F92" s="47" t="str">
        <f t="shared" si="2"/>
        <v/>
      </c>
    </row>
    <row r="93" spans="1:6" ht="15" customHeight="1" x14ac:dyDescent="0.25">
      <c r="A93" s="42"/>
      <c r="B93" s="50"/>
      <c r="C93" s="44"/>
      <c r="D93" s="45"/>
      <c r="E93" s="46"/>
      <c r="F93" s="49" t="str">
        <f t="shared" si="2"/>
        <v/>
      </c>
    </row>
    <row r="94" spans="1:6" ht="15" customHeight="1" x14ac:dyDescent="0.25">
      <c r="A94" s="93" t="s">
        <v>113</v>
      </c>
      <c r="B94" s="93"/>
      <c r="C94" s="93"/>
      <c r="D94" s="45">
        <f>SUM(D4:D93)</f>
        <v>5689</v>
      </c>
      <c r="E94" s="51"/>
      <c r="F94" s="52" t="str">
        <f>COUNTIF(F4:F93,"SÍ")&amp;" gastos hormiga detectados"</f>
        <v>10 gastos hormiga detectados</v>
      </c>
    </row>
  </sheetData>
  <mergeCells count="3">
    <mergeCell ref="A1:F1"/>
    <mergeCell ref="A2:F2"/>
    <mergeCell ref="A94:C94"/>
  </mergeCells>
  <conditionalFormatting sqref="A4:E93">
    <cfRule type="expression" dxfId="11" priority="2">
      <formula>$E4="🐜 SÍ"</formula>
    </cfRule>
  </conditionalFormatting>
  <conditionalFormatting sqref="F4:F93">
    <cfRule type="containsText" dxfId="10" priority="3" operator="containsText" text="SÍ">
      <formula>NOT(ISERROR(SEARCH("SÍ",F4)))</formula>
    </cfRule>
    <cfRule type="containsText" dxfId="9" priority="4" operator="containsText" text="No">
      <formula>NOT(ISERROR(SEARCH("No",F4)))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Categoría inválida" error="Selecciona una categoría del menú desplegable" xr:uid="{00000000-0002-0000-0200-000000000000}">
          <x14:formula1>
            <xm:f>'⚙️ Config'!$C$13:$C$27</xm:f>
          </x14:formula1>
          <x14:formula2>
            <xm:f>0</xm:f>
          </x14:formula2>
          <xm:sqref>C4:C93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31"/>
  <sheetViews>
    <sheetView showGridLines="0" zoomScale="115" zoomScaleNormal="115" workbookViewId="0">
      <selection activeCell="W2" sqref="W2"/>
    </sheetView>
  </sheetViews>
  <sheetFormatPr baseColWidth="10" defaultColWidth="8.7109375" defaultRowHeight="15" x14ac:dyDescent="0.25"/>
  <cols>
    <col min="1" max="1" width="3" customWidth="1"/>
    <col min="2" max="2" width="33.140625" customWidth="1"/>
    <col min="3" max="3" width="11.140625" customWidth="1"/>
    <col min="4" max="4" width="14.85546875" customWidth="1"/>
    <col min="5" max="5" width="13.28515625" customWidth="1"/>
    <col min="6" max="6" width="10.42578125" customWidth="1"/>
    <col min="7" max="7" width="10.28515625" customWidth="1"/>
    <col min="8" max="8" width="3" customWidth="1"/>
  </cols>
  <sheetData>
    <row r="2" spans="2:7" ht="36" customHeight="1" x14ac:dyDescent="0.25">
      <c r="B2" s="13" t="s">
        <v>114</v>
      </c>
      <c r="C2" s="13"/>
      <c r="D2" s="13"/>
      <c r="E2" s="13"/>
      <c r="F2" s="13"/>
      <c r="G2" s="13"/>
    </row>
    <row r="3" spans="2:7" ht="18" customHeight="1" x14ac:dyDescent="0.25">
      <c r="B3" s="102" t="s">
        <v>115</v>
      </c>
      <c r="C3" s="102"/>
      <c r="D3" s="102"/>
      <c r="E3" s="102"/>
      <c r="F3" s="102"/>
      <c r="G3" s="102"/>
    </row>
    <row r="5" spans="2:7" ht="19.5" customHeight="1" x14ac:dyDescent="0.25">
      <c r="B5" s="94" t="s">
        <v>116</v>
      </c>
      <c r="C5" s="94"/>
      <c r="D5" s="94"/>
      <c r="E5" s="94"/>
      <c r="F5" s="94"/>
      <c r="G5" s="94"/>
    </row>
    <row r="6" spans="2:7" ht="21.75" customHeight="1" x14ac:dyDescent="0.25">
      <c r="B6" s="53" t="s">
        <v>117</v>
      </c>
      <c r="G6" s="54">
        <f>'⚙️ Config'!C8</f>
        <v>18000</v>
      </c>
    </row>
    <row r="7" spans="2:7" ht="21.75" customHeight="1" x14ac:dyDescent="0.25">
      <c r="B7" s="55" t="s">
        <v>118</v>
      </c>
      <c r="G7" s="56">
        <f>'📋 Gastos Diarios'!D94</f>
        <v>5689</v>
      </c>
    </row>
    <row r="8" spans="2:7" ht="21.75" customHeight="1" x14ac:dyDescent="0.25">
      <c r="B8" s="53" t="s">
        <v>119</v>
      </c>
      <c r="G8" s="54">
        <f>SUMIF('📋 Gastos Diarios'!F4:F93,"SÍ",'📋 Gastos Diarios'!D4:D93)</f>
        <v>1040</v>
      </c>
    </row>
    <row r="9" spans="2:7" ht="21.75" customHeight="1" x14ac:dyDescent="0.25">
      <c r="B9" s="55" t="s">
        <v>120</v>
      </c>
      <c r="G9" s="57">
        <f>IF('⚙️ Config'!C8=0,0,G8/'⚙️ Config'!C8)</f>
        <v>5.7777777777777775E-2</v>
      </c>
    </row>
    <row r="10" spans="2:7" ht="21.75" customHeight="1" x14ac:dyDescent="0.25">
      <c r="B10" s="53" t="s">
        <v>121</v>
      </c>
      <c r="G10" s="54">
        <f>'⚙️ Config'!C9</f>
        <v>2000</v>
      </c>
    </row>
    <row r="11" spans="2:7" ht="21.75" customHeight="1" x14ac:dyDescent="0.25">
      <c r="B11" s="55" t="s">
        <v>122</v>
      </c>
      <c r="G11" s="58" t="str">
        <f>IF('⚙️ Config'!C8-G7&gt;='⚙️ Config'!C9,"SÍ","No aún")</f>
        <v>SÍ</v>
      </c>
    </row>
    <row r="14" spans="2:7" ht="19.5" customHeight="1" x14ac:dyDescent="0.25">
      <c r="B14" s="104" t="s">
        <v>154</v>
      </c>
      <c r="C14" s="95"/>
      <c r="D14" s="95"/>
      <c r="E14" s="95"/>
      <c r="F14" s="95"/>
      <c r="G14" s="95"/>
    </row>
    <row r="15" spans="2:7" ht="15" customHeight="1" x14ac:dyDescent="0.25">
      <c r="B15" s="29" t="s">
        <v>123</v>
      </c>
      <c r="C15" s="29" t="s">
        <v>124</v>
      </c>
      <c r="D15" s="29" t="s">
        <v>125</v>
      </c>
      <c r="E15" s="29" t="s">
        <v>126</v>
      </c>
      <c r="F15" s="29" t="s">
        <v>127</v>
      </c>
      <c r="G15" s="29" t="s">
        <v>128</v>
      </c>
    </row>
    <row r="16" spans="2:7" ht="21.75" customHeight="1" x14ac:dyDescent="0.25">
      <c r="B16" s="53" t="str">
        <f>'⚙️ Config'!C13</f>
        <v>Cafeterías y bebidas</v>
      </c>
      <c r="C16" s="59">
        <f>SUMIF('📋 Gastos Diarios'!C4:C93,'⚙️ Config'!C13,'📋 Gastos Diarios'!D4:D93)</f>
        <v>110</v>
      </c>
      <c r="D16" s="59">
        <f>'⚙️ Config'!D13</f>
        <v>400</v>
      </c>
      <c r="E16" s="60">
        <f t="shared" ref="E16:E30" si="0">D16-C16</f>
        <v>290</v>
      </c>
      <c r="F16" s="61">
        <f>IF(G7=0,0,C16/G7)</f>
        <v>1.9335559852346633E-2</v>
      </c>
      <c r="G16" s="62" t="str">
        <f t="shared" ref="G16:G30" si="1">IF(C16=0,"Sin gastos",IF(C16&gt;D16,"EXCEDIDO","OK"))</f>
        <v>OK</v>
      </c>
    </row>
    <row r="17" spans="2:7" ht="21.75" customHeight="1" x14ac:dyDescent="0.25">
      <c r="B17" s="55" t="str">
        <f>'⚙️ Config'!C14</f>
        <v>Comida rápida y antojitos</v>
      </c>
      <c r="C17" s="63">
        <f>SUMIF('📋 Gastos Diarios'!C4:C93,'⚙️ Config'!C14,'📋 Gastos Diarios'!D4:D93)</f>
        <v>225</v>
      </c>
      <c r="D17" s="63">
        <f>'⚙️ Config'!D14</f>
        <v>1000</v>
      </c>
      <c r="E17" s="64">
        <f t="shared" si="0"/>
        <v>775</v>
      </c>
      <c r="F17" s="65">
        <f>IF(G7=0,0,C17/G7)</f>
        <v>3.9550008788890839E-2</v>
      </c>
      <c r="G17" s="66" t="str">
        <f t="shared" si="1"/>
        <v>OK</v>
      </c>
    </row>
    <row r="18" spans="2:7" ht="21.75" customHeight="1" x14ac:dyDescent="0.25">
      <c r="B18" s="53" t="str">
        <f>'⚙️ Config'!C15</f>
        <v>Supermercado y despensa</v>
      </c>
      <c r="C18" s="59">
        <f>SUMIF('📋 Gastos Diarios'!C4:C93,'⚙️ Config'!C15,'📋 Gastos Diarios'!D4:D93)</f>
        <v>850</v>
      </c>
      <c r="D18" s="59">
        <f>'⚙️ Config'!D15</f>
        <v>4000</v>
      </c>
      <c r="E18" s="60">
        <f t="shared" si="0"/>
        <v>3150</v>
      </c>
      <c r="F18" s="61">
        <f>IF(G7=0,0,C18/G7)</f>
        <v>0.14941114431358762</v>
      </c>
      <c r="G18" s="62" t="str">
        <f t="shared" si="1"/>
        <v>OK</v>
      </c>
    </row>
    <row r="19" spans="2:7" ht="21.75" customHeight="1" x14ac:dyDescent="0.25">
      <c r="B19" s="55" t="str">
        <f>'⚙️ Config'!C16</f>
        <v>Transporte (taxi, valet, casetas)</v>
      </c>
      <c r="C19" s="63">
        <f>SUMIF('📋 Gastos Diarios'!C4:C93,'⚙️ Config'!C16,'📋 Gastos Diarios'!D4:D93)</f>
        <v>65</v>
      </c>
      <c r="D19" s="63">
        <f>'⚙️ Config'!D16</f>
        <v>200</v>
      </c>
      <c r="E19" s="64">
        <f t="shared" si="0"/>
        <v>135</v>
      </c>
      <c r="F19" s="65">
        <f>IF(G7=0,0,C19/G7)</f>
        <v>1.1425558094568465E-2</v>
      </c>
      <c r="G19" s="66" t="str">
        <f t="shared" si="1"/>
        <v>OK</v>
      </c>
    </row>
    <row r="20" spans="2:7" ht="21.75" customHeight="1" x14ac:dyDescent="0.25">
      <c r="B20" s="53" t="str">
        <f>'⚙️ Config'!C17</f>
        <v>Apps y suscripciones</v>
      </c>
      <c r="C20" s="59">
        <f>SUMIF('📋 Gastos Diarios'!C4:C93,'⚙️ Config'!C17,'📋 Gastos Diarios'!D4:D93)</f>
        <v>458</v>
      </c>
      <c r="D20" s="59">
        <f>'⚙️ Config'!D17</f>
        <v>200</v>
      </c>
      <c r="E20" s="60">
        <f t="shared" si="0"/>
        <v>-258</v>
      </c>
      <c r="F20" s="61">
        <f>IF(G7=0,0,C20/G7)</f>
        <v>8.0506240112497809E-2</v>
      </c>
      <c r="G20" s="62" t="str">
        <f t="shared" si="1"/>
        <v>EXCEDIDO</v>
      </c>
    </row>
    <row r="21" spans="2:7" ht="21.75" customHeight="1" x14ac:dyDescent="0.25">
      <c r="B21" s="55" t="str">
        <f>'⚙️ Config'!C18</f>
        <v>Snacks y dulcerías</v>
      </c>
      <c r="C21" s="63">
        <f>SUMIF('📋 Gastos Diarios'!C4:C93,'⚙️ Config'!C18,'📋 Gastos Diarios'!D4:D93)</f>
        <v>42</v>
      </c>
      <c r="D21" s="63">
        <f>'⚙️ Config'!D18</f>
        <v>350</v>
      </c>
      <c r="E21" s="64">
        <f t="shared" si="0"/>
        <v>308</v>
      </c>
      <c r="F21" s="65">
        <f>IF(G7=0,0,C21/G7)</f>
        <v>7.3826683072596242E-3</v>
      </c>
      <c r="G21" s="66" t="str">
        <f t="shared" si="1"/>
        <v>OK</v>
      </c>
    </row>
    <row r="22" spans="2:7" ht="21.75" customHeight="1" x14ac:dyDescent="0.25">
      <c r="B22" s="53" t="str">
        <f>'⚙️ Config'!C19</f>
        <v>Compras de impulso online</v>
      </c>
      <c r="C22" s="59">
        <f>SUMIF('📋 Gastos Diarios'!C4:C93,'⚙️ Config'!C19,'📋 Gastos Diarios'!D4:D93)</f>
        <v>189</v>
      </c>
      <c r="D22" s="59">
        <f>'⚙️ Config'!D19</f>
        <v>500</v>
      </c>
      <c r="E22" s="60">
        <f t="shared" si="0"/>
        <v>311</v>
      </c>
      <c r="F22" s="61">
        <f>IF(G7=0,0,C22/G7)</f>
        <v>3.3222007382668305E-2</v>
      </c>
      <c r="G22" s="62" t="str">
        <f t="shared" si="1"/>
        <v>OK</v>
      </c>
    </row>
    <row r="23" spans="2:7" ht="21.75" customHeight="1" x14ac:dyDescent="0.25">
      <c r="B23" s="55" t="str">
        <f>'⚙️ Config'!C20</f>
        <v>Farmacia y salud</v>
      </c>
      <c r="C23" s="63">
        <f>SUMIF('📋 Gastos Diarios'!C4:C93,'⚙️ Config'!C20,'📋 Gastos Diarios'!D4:D93)</f>
        <v>145</v>
      </c>
      <c r="D23" s="63">
        <f>'⚙️ Config'!D20</f>
        <v>0</v>
      </c>
      <c r="E23" s="64">
        <f t="shared" si="0"/>
        <v>-145</v>
      </c>
      <c r="F23" s="65">
        <f>IF(G7=0,0,C23/G7)</f>
        <v>2.5487783441729653E-2</v>
      </c>
      <c r="G23" s="66" t="str">
        <f t="shared" si="1"/>
        <v>EXCEDIDO</v>
      </c>
    </row>
    <row r="24" spans="2:7" ht="21.75" customHeight="1" x14ac:dyDescent="0.25">
      <c r="B24" s="53" t="str">
        <f>'⚙️ Config'!C21</f>
        <v>Entretenimiento y ocio</v>
      </c>
      <c r="C24" s="59">
        <f>SUMIF('📋 Gastos Diarios'!C4:C93,'⚙️ Config'!C21,'📋 Gastos Diarios'!D4:D93)</f>
        <v>0</v>
      </c>
      <c r="D24" s="59">
        <f>'⚙️ Config'!D21</f>
        <v>1000</v>
      </c>
      <c r="E24" s="60">
        <f t="shared" si="0"/>
        <v>1000</v>
      </c>
      <c r="F24" s="61">
        <f>IF(G7=0,0,C24/G7)</f>
        <v>0</v>
      </c>
      <c r="G24" s="62" t="str">
        <f t="shared" si="1"/>
        <v>Sin gastos</v>
      </c>
    </row>
    <row r="25" spans="2:7" ht="21.75" customHeight="1" x14ac:dyDescent="0.25">
      <c r="B25" s="55" t="str">
        <f>'⚙️ Config'!C22</f>
        <v>Otros gastos</v>
      </c>
      <c r="C25" s="63">
        <f>SUMIF('📋 Gastos Diarios'!C4:C93,'⚙️ Config'!C22,'📋 Gastos Diarios'!D4:D93)</f>
        <v>0</v>
      </c>
      <c r="D25" s="63">
        <f>'⚙️ Config'!D22</f>
        <v>1500</v>
      </c>
      <c r="E25" s="64">
        <f t="shared" si="0"/>
        <v>1500</v>
      </c>
      <c r="F25" s="65">
        <f>IF(G7=0,0,C25/G7)</f>
        <v>0</v>
      </c>
      <c r="G25" s="66" t="str">
        <f t="shared" si="1"/>
        <v>Sin gastos</v>
      </c>
    </row>
    <row r="26" spans="2:7" ht="21.75" customHeight="1" x14ac:dyDescent="0.25">
      <c r="B26" s="55" t="str">
        <f>'⚙️ Config'!C23</f>
        <v>Servicios (luz, agua, internet)</v>
      </c>
      <c r="C26" s="63">
        <f>SUMIF('📋 Gastos Diarios'!C4:C93,'⚙️ Config'!C23,'📋 Gastos Diarios'!D4:D93)</f>
        <v>0</v>
      </c>
      <c r="D26" s="63">
        <f>'⚙️ Config'!D23</f>
        <v>1150</v>
      </c>
      <c r="E26" s="64">
        <f t="shared" si="0"/>
        <v>1150</v>
      </c>
      <c r="F26" s="65">
        <f>IF(G7=0,0,C26/G7)</f>
        <v>0</v>
      </c>
      <c r="G26" s="66" t="str">
        <f t="shared" si="1"/>
        <v>Sin gastos</v>
      </c>
    </row>
    <row r="27" spans="2:7" ht="21.75" customHeight="1" x14ac:dyDescent="0.25">
      <c r="B27" s="55" t="str">
        <f>'⚙️ Config'!C24</f>
        <v>Créditos y mensualidades</v>
      </c>
      <c r="C27" s="63">
        <f>SUMIF('📋 Gastos Diarios'!C4:C93,'⚙️ Config'!C24,'📋 Gastos Diarios'!D4:D93)</f>
        <v>0</v>
      </c>
      <c r="D27" s="63">
        <f>'⚙️ Config'!D24</f>
        <v>2500</v>
      </c>
      <c r="E27" s="64">
        <f t="shared" si="0"/>
        <v>2500</v>
      </c>
      <c r="F27" s="65">
        <f>IF(G7=0,0,C27/G7)</f>
        <v>0</v>
      </c>
      <c r="G27" s="66" t="str">
        <f t="shared" si="1"/>
        <v>Sin gastos</v>
      </c>
    </row>
    <row r="28" spans="2:7" ht="21.75" customHeight="1" x14ac:dyDescent="0.25">
      <c r="B28" s="55" t="str">
        <f>'⚙️ Config'!C25</f>
        <v>Educación y cursos</v>
      </c>
      <c r="C28" s="63">
        <f>SUMIF('📋 Gastos Diarios'!C4:C93,'⚙️ Config'!C25,'📋 Gastos Diarios'!D4:D93)</f>
        <v>0</v>
      </c>
      <c r="D28" s="63">
        <f>'⚙️ Config'!D25</f>
        <v>0</v>
      </c>
      <c r="E28" s="64">
        <f t="shared" si="0"/>
        <v>0</v>
      </c>
      <c r="F28" s="65">
        <f>IF(G7=0,0,C28/G7)</f>
        <v>0</v>
      </c>
      <c r="G28" s="66" t="str">
        <f t="shared" si="1"/>
        <v>Sin gastos</v>
      </c>
    </row>
    <row r="29" spans="2:7" ht="21.75" customHeight="1" x14ac:dyDescent="0.25">
      <c r="B29" s="55" t="str">
        <f>'⚙️ Config'!C26</f>
        <v>Cigarros y vapeadores</v>
      </c>
      <c r="C29" s="63">
        <f>SUMIF('📋 Gastos Diarios'!C4:C93,'⚙️ Config'!C26,'📋 Gastos Diarios'!D4:D93)</f>
        <v>105</v>
      </c>
      <c r="D29" s="63">
        <f>'⚙️ Config'!D26</f>
        <v>0</v>
      </c>
      <c r="E29" s="64">
        <f t="shared" si="0"/>
        <v>-105</v>
      </c>
      <c r="F29" s="65">
        <f>IF(G7=0,0,C29/G7)</f>
        <v>1.845667076814906E-2</v>
      </c>
      <c r="G29" s="66" t="str">
        <f t="shared" si="1"/>
        <v>EXCEDIDO</v>
      </c>
    </row>
    <row r="30" spans="2:7" ht="21.75" customHeight="1" x14ac:dyDescent="0.25">
      <c r="B30" s="55" t="str">
        <f>'⚙️ Config'!C27</f>
        <v>Renta y alquiler</v>
      </c>
      <c r="C30" s="63">
        <f>SUMIF('📋 Gastos Diarios'!C4:C93,'⚙️ Config'!C27,'📋 Gastos Diarios'!D4:D93)</f>
        <v>3500</v>
      </c>
      <c r="D30" s="63">
        <f>'⚙️ Config'!D27</f>
        <v>2000</v>
      </c>
      <c r="E30" s="64">
        <f t="shared" si="0"/>
        <v>-1500</v>
      </c>
      <c r="F30" s="65">
        <f>IF(G7=0,0,C30/G7)</f>
        <v>0.61522235893830202</v>
      </c>
      <c r="G30" s="66" t="str">
        <f t="shared" si="1"/>
        <v>EXCEDIDO</v>
      </c>
    </row>
    <row r="31" spans="2:7" ht="15" customHeight="1" x14ac:dyDescent="0.25">
      <c r="B31" s="67" t="s">
        <v>129</v>
      </c>
      <c r="C31" s="68">
        <f>SUM(C16:C30)</f>
        <v>5689</v>
      </c>
      <c r="D31" s="68">
        <f>SUM(D16:D30)</f>
        <v>14800</v>
      </c>
    </row>
  </sheetData>
  <mergeCells count="4">
    <mergeCell ref="B2:G2"/>
    <mergeCell ref="B3:G3"/>
    <mergeCell ref="B5:G5"/>
    <mergeCell ref="B14:G14"/>
  </mergeCells>
  <conditionalFormatting sqref="E16:E30">
    <cfRule type="cellIs" dxfId="8" priority="7" operator="lessThan">
      <formula>0</formula>
    </cfRule>
  </conditionalFormatting>
  <conditionalFormatting sqref="G11">
    <cfRule type="containsText" dxfId="7" priority="2" operator="containsText" text="SÍ">
      <formula>NOT(ISERROR(SEARCH("SÍ",G11)))</formula>
    </cfRule>
    <cfRule type="containsText" dxfId="6" priority="3" operator="containsText" text="No aún">
      <formula>NOT(ISERROR(SEARCH("No aún",G11)))</formula>
    </cfRule>
  </conditionalFormatting>
  <conditionalFormatting sqref="G16:G30">
    <cfRule type="containsText" dxfId="5" priority="4" operator="containsText" text="OK">
      <formula>NOT(ISERROR(SEARCH("OK",G16)))</formula>
    </cfRule>
    <cfRule type="containsText" dxfId="4" priority="5" operator="containsText" text="EXCEDIDO">
      <formula>NOT(ISERROR(SEARCH("EXCEDIDO",G16)))</formula>
    </cfRule>
    <cfRule type="containsText" dxfId="3" priority="6" operator="containsText" text="Sin gastos">
      <formula>NOT(ISERROR(SEARCH("Sin gastos",G16)))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9"/>
  <sheetViews>
    <sheetView showGridLines="0" zoomScaleNormal="100" workbookViewId="0">
      <selection activeCell="U14" sqref="U14"/>
    </sheetView>
  </sheetViews>
  <sheetFormatPr baseColWidth="10" defaultColWidth="8.7109375" defaultRowHeight="15" x14ac:dyDescent="0.25"/>
  <cols>
    <col min="1" max="1" width="3" customWidth="1"/>
    <col min="2" max="2" width="28" customWidth="1"/>
    <col min="3" max="6" width="20" customWidth="1"/>
    <col min="7" max="7" width="3" customWidth="1"/>
  </cols>
  <sheetData>
    <row r="2" spans="2:6" ht="36" customHeight="1" x14ac:dyDescent="0.25">
      <c r="B2" s="13" t="s">
        <v>130</v>
      </c>
      <c r="C2" s="13"/>
      <c r="D2" s="13"/>
      <c r="E2" s="13"/>
      <c r="F2" s="13"/>
    </row>
    <row r="4" spans="2:6" ht="19.5" customHeight="1" x14ac:dyDescent="0.25">
      <c r="B4" s="94" t="s">
        <v>131</v>
      </c>
      <c r="C4" s="94"/>
      <c r="D4" s="94"/>
      <c r="E4" s="94"/>
      <c r="F4" s="94"/>
    </row>
    <row r="5" spans="2:6" ht="21.75" customHeight="1" x14ac:dyDescent="0.25">
      <c r="B5" s="69" t="s">
        <v>132</v>
      </c>
      <c r="C5" s="96">
        <f>'⚙️ Config'!C8</f>
        <v>18000</v>
      </c>
      <c r="D5" s="96"/>
      <c r="E5" s="96"/>
      <c r="F5" s="96"/>
    </row>
    <row r="6" spans="2:6" ht="21.75" customHeight="1" x14ac:dyDescent="0.25">
      <c r="B6" s="70" t="s">
        <v>133</v>
      </c>
      <c r="C6" s="97">
        <f>'📋 Gastos Diarios'!D94</f>
        <v>5689</v>
      </c>
      <c r="D6" s="97"/>
      <c r="E6" s="97"/>
      <c r="F6" s="97"/>
    </row>
    <row r="7" spans="2:6" ht="21.75" customHeight="1" x14ac:dyDescent="0.25">
      <c r="B7" s="69" t="s">
        <v>134</v>
      </c>
      <c r="C7" s="96">
        <f>SUMIF('📋 Gastos Diarios'!F4:F93,"SÍ",'📋 Gastos Diarios'!D4:D93)</f>
        <v>1040</v>
      </c>
      <c r="D7" s="96"/>
      <c r="E7" s="96"/>
      <c r="F7" s="96"/>
    </row>
    <row r="8" spans="2:6" ht="21.75" customHeight="1" x14ac:dyDescent="0.25">
      <c r="B8" s="71" t="s">
        <v>135</v>
      </c>
      <c r="C8" s="98">
        <f>'⚙️ Config'!C8-'📋 Gastos Diarios'!D94</f>
        <v>12311</v>
      </c>
      <c r="D8" s="98"/>
      <c r="E8" s="98"/>
      <c r="F8" s="98"/>
    </row>
    <row r="9" spans="2:6" ht="21.75" customHeight="1" x14ac:dyDescent="0.25">
      <c r="B9" s="69" t="s">
        <v>136</v>
      </c>
      <c r="C9" s="96">
        <f>'⚙️ Config'!C9</f>
        <v>2000</v>
      </c>
      <c r="D9" s="96"/>
      <c r="E9" s="96"/>
      <c r="F9" s="96"/>
    </row>
    <row r="10" spans="2:6" ht="21.75" customHeight="1" x14ac:dyDescent="0.25">
      <c r="B10" s="71" t="s">
        <v>137</v>
      </c>
      <c r="C10" s="99">
        <f>'⚙️ Config'!C8-'📋 Gastos Diarios'!D94-'⚙️ Config'!C9</f>
        <v>10311</v>
      </c>
      <c r="D10" s="99"/>
      <c r="E10" s="99"/>
      <c r="F10" s="99"/>
    </row>
    <row r="13" spans="2:6" ht="19.5" customHeight="1" x14ac:dyDescent="0.25">
      <c r="B13" s="95" t="s">
        <v>138</v>
      </c>
      <c r="C13" s="95"/>
      <c r="D13" s="95"/>
      <c r="E13" s="95"/>
      <c r="F13" s="95"/>
    </row>
    <row r="14" spans="2:6" ht="15" customHeight="1" x14ac:dyDescent="0.25">
      <c r="B14" s="29" t="s">
        <v>123</v>
      </c>
      <c r="C14" s="29" t="s">
        <v>139</v>
      </c>
      <c r="D14" s="29" t="s">
        <v>140</v>
      </c>
      <c r="E14" s="29" t="s">
        <v>141</v>
      </c>
      <c r="F14" s="29" t="s">
        <v>142</v>
      </c>
    </row>
    <row r="15" spans="2:6" ht="19.5" customHeight="1" x14ac:dyDescent="0.25">
      <c r="B15" s="69" t="str">
        <f>'🔍 Detector Hormiga'!B16</f>
        <v>Cafeterías y bebidas</v>
      </c>
      <c r="C15" s="59">
        <f>'🔍 Detector Hormiga'!C16</f>
        <v>110</v>
      </c>
      <c r="D15" s="59">
        <f>'🔍 Detector Hormiga'!D16</f>
        <v>400</v>
      </c>
      <c r="E15" s="72">
        <f t="shared" ref="E15:E29" si="0">IF(D15=0,0,C15/D15)</f>
        <v>0.27500000000000002</v>
      </c>
      <c r="F15" s="51" t="str">
        <f t="shared" ref="F15:F29" si="1">IF(C15=0,"—",IF(C15/MAX(D15,1)&gt;=1,"EXCEDIDO",IF(C15/MAX(D15,1)&gt;=0.8,"Cuidado","Bien")))</f>
        <v>Bien</v>
      </c>
    </row>
    <row r="16" spans="2:6" ht="19.5" customHeight="1" x14ac:dyDescent="0.25">
      <c r="B16" s="70" t="str">
        <f>'🔍 Detector Hormiga'!B17</f>
        <v>Comida rápida y antojitos</v>
      </c>
      <c r="C16" s="63">
        <f>'🔍 Detector Hormiga'!C17</f>
        <v>225</v>
      </c>
      <c r="D16" s="63">
        <f>'🔍 Detector Hormiga'!D17</f>
        <v>1000</v>
      </c>
      <c r="E16" s="73">
        <f t="shared" si="0"/>
        <v>0.22500000000000001</v>
      </c>
      <c r="F16" s="74" t="str">
        <f t="shared" si="1"/>
        <v>Bien</v>
      </c>
    </row>
    <row r="17" spans="2:6" ht="19.5" customHeight="1" x14ac:dyDescent="0.25">
      <c r="B17" s="69" t="str">
        <f>'🔍 Detector Hormiga'!B18</f>
        <v>Supermercado y despensa</v>
      </c>
      <c r="C17" s="59">
        <f>'🔍 Detector Hormiga'!C18</f>
        <v>850</v>
      </c>
      <c r="D17" s="59">
        <f>'🔍 Detector Hormiga'!D18</f>
        <v>4000</v>
      </c>
      <c r="E17" s="72">
        <f t="shared" si="0"/>
        <v>0.21249999999999999</v>
      </c>
      <c r="F17" s="51" t="str">
        <f t="shared" si="1"/>
        <v>Bien</v>
      </c>
    </row>
    <row r="18" spans="2:6" ht="19.5" customHeight="1" x14ac:dyDescent="0.25">
      <c r="B18" s="70" t="str">
        <f>'🔍 Detector Hormiga'!B19</f>
        <v>Transporte (taxi, valet, casetas)</v>
      </c>
      <c r="C18" s="63">
        <f>'🔍 Detector Hormiga'!C19</f>
        <v>65</v>
      </c>
      <c r="D18" s="63">
        <f>'🔍 Detector Hormiga'!D19</f>
        <v>200</v>
      </c>
      <c r="E18" s="73">
        <f t="shared" si="0"/>
        <v>0.32500000000000001</v>
      </c>
      <c r="F18" s="74" t="str">
        <f t="shared" si="1"/>
        <v>Bien</v>
      </c>
    </row>
    <row r="19" spans="2:6" ht="19.5" customHeight="1" x14ac:dyDescent="0.25">
      <c r="B19" s="69" t="str">
        <f>'🔍 Detector Hormiga'!B20</f>
        <v>Apps y suscripciones</v>
      </c>
      <c r="C19" s="59">
        <f>'🔍 Detector Hormiga'!C20</f>
        <v>458</v>
      </c>
      <c r="D19" s="59">
        <f>'🔍 Detector Hormiga'!D20</f>
        <v>200</v>
      </c>
      <c r="E19" s="72">
        <f t="shared" si="0"/>
        <v>2.29</v>
      </c>
      <c r="F19" s="51" t="str">
        <f t="shared" si="1"/>
        <v>EXCEDIDO</v>
      </c>
    </row>
    <row r="20" spans="2:6" ht="19.5" customHeight="1" x14ac:dyDescent="0.25">
      <c r="B20" s="70" t="str">
        <f>'🔍 Detector Hormiga'!B21</f>
        <v>Snacks y dulcerías</v>
      </c>
      <c r="C20" s="63">
        <f>'🔍 Detector Hormiga'!C21</f>
        <v>42</v>
      </c>
      <c r="D20" s="63">
        <f>'🔍 Detector Hormiga'!D21</f>
        <v>350</v>
      </c>
      <c r="E20" s="73">
        <f t="shared" si="0"/>
        <v>0.12</v>
      </c>
      <c r="F20" s="74" t="str">
        <f t="shared" si="1"/>
        <v>Bien</v>
      </c>
    </row>
    <row r="21" spans="2:6" ht="19.5" customHeight="1" x14ac:dyDescent="0.25">
      <c r="B21" s="69" t="str">
        <f>'🔍 Detector Hormiga'!B22</f>
        <v>Compras de impulso online</v>
      </c>
      <c r="C21" s="59">
        <f>'🔍 Detector Hormiga'!C22</f>
        <v>189</v>
      </c>
      <c r="D21" s="59">
        <f>'🔍 Detector Hormiga'!D22</f>
        <v>500</v>
      </c>
      <c r="E21" s="72">
        <f t="shared" si="0"/>
        <v>0.378</v>
      </c>
      <c r="F21" s="51" t="str">
        <f t="shared" si="1"/>
        <v>Bien</v>
      </c>
    </row>
    <row r="22" spans="2:6" ht="19.5" customHeight="1" x14ac:dyDescent="0.25">
      <c r="B22" s="70" t="str">
        <f>'🔍 Detector Hormiga'!B23</f>
        <v>Farmacia y salud</v>
      </c>
      <c r="C22" s="63">
        <f>'🔍 Detector Hormiga'!C23</f>
        <v>145</v>
      </c>
      <c r="D22" s="63">
        <f>'🔍 Detector Hormiga'!D23</f>
        <v>0</v>
      </c>
      <c r="E22" s="73">
        <f t="shared" si="0"/>
        <v>0</v>
      </c>
      <c r="F22" s="74" t="str">
        <f t="shared" si="1"/>
        <v>EXCEDIDO</v>
      </c>
    </row>
    <row r="23" spans="2:6" ht="19.5" customHeight="1" x14ac:dyDescent="0.25">
      <c r="B23" s="69" t="str">
        <f>'🔍 Detector Hormiga'!B24</f>
        <v>Entretenimiento y ocio</v>
      </c>
      <c r="C23" s="59">
        <f>'🔍 Detector Hormiga'!C24</f>
        <v>0</v>
      </c>
      <c r="D23" s="59">
        <f>'🔍 Detector Hormiga'!D24</f>
        <v>1000</v>
      </c>
      <c r="E23" s="72">
        <f t="shared" si="0"/>
        <v>0</v>
      </c>
      <c r="F23" s="51" t="str">
        <f t="shared" si="1"/>
        <v>—</v>
      </c>
    </row>
    <row r="24" spans="2:6" ht="19.5" customHeight="1" x14ac:dyDescent="0.25">
      <c r="B24" s="70" t="str">
        <f>'🔍 Detector Hormiga'!B25</f>
        <v>Otros gastos</v>
      </c>
      <c r="C24" s="63">
        <f>'🔍 Detector Hormiga'!C25</f>
        <v>0</v>
      </c>
      <c r="D24" s="63">
        <f>'🔍 Detector Hormiga'!D25</f>
        <v>1500</v>
      </c>
      <c r="E24" s="73">
        <f t="shared" si="0"/>
        <v>0</v>
      </c>
      <c r="F24" s="74" t="str">
        <f t="shared" si="1"/>
        <v>—</v>
      </c>
    </row>
    <row r="25" spans="2:6" ht="19.5" customHeight="1" x14ac:dyDescent="0.25">
      <c r="B25" s="70" t="str">
        <f>'🔍 Detector Hormiga'!B26</f>
        <v>Servicios (luz, agua, internet)</v>
      </c>
      <c r="C25" s="63">
        <f>'🔍 Detector Hormiga'!C26</f>
        <v>0</v>
      </c>
      <c r="D25" s="63">
        <f>'🔍 Detector Hormiga'!D26</f>
        <v>1150</v>
      </c>
      <c r="E25" s="73">
        <f t="shared" si="0"/>
        <v>0</v>
      </c>
      <c r="F25" s="74" t="str">
        <f t="shared" si="1"/>
        <v>—</v>
      </c>
    </row>
    <row r="26" spans="2:6" ht="19.5" customHeight="1" x14ac:dyDescent="0.25">
      <c r="B26" s="70" t="str">
        <f>'🔍 Detector Hormiga'!B27</f>
        <v>Créditos y mensualidades</v>
      </c>
      <c r="C26" s="63">
        <f>'🔍 Detector Hormiga'!C27</f>
        <v>0</v>
      </c>
      <c r="D26" s="63">
        <f>'🔍 Detector Hormiga'!D27</f>
        <v>2500</v>
      </c>
      <c r="E26" s="73">
        <f t="shared" si="0"/>
        <v>0</v>
      </c>
      <c r="F26" s="74" t="str">
        <f t="shared" si="1"/>
        <v>—</v>
      </c>
    </row>
    <row r="27" spans="2:6" ht="19.5" customHeight="1" x14ac:dyDescent="0.25">
      <c r="B27" s="70" t="str">
        <f>'🔍 Detector Hormiga'!B28</f>
        <v>Educación y cursos</v>
      </c>
      <c r="C27" s="63">
        <f>'🔍 Detector Hormiga'!C28</f>
        <v>0</v>
      </c>
      <c r="D27" s="63">
        <f>'🔍 Detector Hormiga'!D28</f>
        <v>0</v>
      </c>
      <c r="E27" s="73">
        <f t="shared" si="0"/>
        <v>0</v>
      </c>
      <c r="F27" s="74" t="str">
        <f t="shared" si="1"/>
        <v>—</v>
      </c>
    </row>
    <row r="28" spans="2:6" ht="19.5" customHeight="1" x14ac:dyDescent="0.25">
      <c r="B28" s="70" t="str">
        <f>'🔍 Detector Hormiga'!B29</f>
        <v>Cigarros y vapeadores</v>
      </c>
      <c r="C28" s="63">
        <f>'🔍 Detector Hormiga'!C29</f>
        <v>105</v>
      </c>
      <c r="D28" s="63">
        <f>'🔍 Detector Hormiga'!D29</f>
        <v>0</v>
      </c>
      <c r="E28" s="73">
        <f t="shared" si="0"/>
        <v>0</v>
      </c>
      <c r="F28" s="74" t="str">
        <f t="shared" si="1"/>
        <v>EXCEDIDO</v>
      </c>
    </row>
    <row r="29" spans="2:6" ht="19.5" customHeight="1" x14ac:dyDescent="0.25">
      <c r="B29" s="70" t="str">
        <f>'🔍 Detector Hormiga'!B30</f>
        <v>Renta y alquiler</v>
      </c>
      <c r="C29" s="63">
        <f>'🔍 Detector Hormiga'!C30</f>
        <v>3500</v>
      </c>
      <c r="D29" s="63">
        <f>'🔍 Detector Hormiga'!D30</f>
        <v>2000</v>
      </c>
      <c r="E29" s="73">
        <f t="shared" si="0"/>
        <v>1.75</v>
      </c>
      <c r="F29" s="74" t="str">
        <f t="shared" si="1"/>
        <v>EXCEDIDO</v>
      </c>
    </row>
  </sheetData>
  <mergeCells count="9">
    <mergeCell ref="C8:F8"/>
    <mergeCell ref="C9:F9"/>
    <mergeCell ref="C10:F10"/>
    <mergeCell ref="B13:F13"/>
    <mergeCell ref="B2:F2"/>
    <mergeCell ref="B4:F4"/>
    <mergeCell ref="C5:F5"/>
    <mergeCell ref="C6:F6"/>
    <mergeCell ref="C7:F7"/>
  </mergeCells>
  <conditionalFormatting sqref="F15:F29">
    <cfRule type="containsText" dxfId="2" priority="2" operator="containsText" text="Bien">
      <formula>NOT(ISERROR(SEARCH("Bien",F15)))</formula>
    </cfRule>
    <cfRule type="containsText" dxfId="1" priority="3" operator="containsText" text="Cuidado">
      <formula>NOT(ISERROR(SEARCH("Cuidado",F15)))</formula>
    </cfRule>
    <cfRule type="containsText" dxfId="0" priority="4" operator="containsText" text="EXCEDIDO">
      <formula>NOT(ISERROR(SEARCH("EXCEDIDO",F15)))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23"/>
  <sheetViews>
    <sheetView showGridLines="0" zoomScale="115" zoomScaleNormal="115" workbookViewId="0">
      <selection activeCell="K15" sqref="K15"/>
    </sheetView>
  </sheetViews>
  <sheetFormatPr baseColWidth="10" defaultColWidth="8.7109375" defaultRowHeight="15" x14ac:dyDescent="0.25"/>
  <cols>
    <col min="1" max="1" width="3" customWidth="1"/>
    <col min="2" max="2" width="29.5703125" customWidth="1"/>
    <col min="3" max="3" width="15.7109375" customWidth="1"/>
    <col min="4" max="4" width="16.85546875" customWidth="1"/>
    <col min="5" max="5" width="14" customWidth="1"/>
    <col min="6" max="6" width="11.42578125" customWidth="1"/>
    <col min="7" max="7" width="23.85546875" customWidth="1"/>
    <col min="8" max="8" width="28.28515625" customWidth="1"/>
  </cols>
  <sheetData>
    <row r="2" spans="2:8" ht="36" customHeight="1" x14ac:dyDescent="0.25">
      <c r="B2" s="13" t="s">
        <v>143</v>
      </c>
      <c r="C2" s="13"/>
      <c r="D2" s="13"/>
      <c r="E2" s="13"/>
      <c r="F2" s="13"/>
      <c r="G2" s="13"/>
    </row>
    <row r="3" spans="2:8" ht="18" customHeight="1" x14ac:dyDescent="0.25">
      <c r="B3" s="12" t="s">
        <v>144</v>
      </c>
      <c r="C3" s="12"/>
      <c r="D3" s="12"/>
      <c r="E3" s="12"/>
      <c r="F3" s="12"/>
      <c r="G3" s="12"/>
    </row>
    <row r="5" spans="2:8" ht="15" customHeight="1" x14ac:dyDescent="0.25">
      <c r="B5" s="75" t="s">
        <v>123</v>
      </c>
      <c r="C5" s="75" t="s">
        <v>145</v>
      </c>
      <c r="D5" s="75" t="s">
        <v>146</v>
      </c>
      <c r="E5" s="75" t="s">
        <v>147</v>
      </c>
      <c r="F5" s="75" t="s">
        <v>148</v>
      </c>
      <c r="G5" s="75" t="s">
        <v>149</v>
      </c>
      <c r="H5" s="75" t="s">
        <v>150</v>
      </c>
    </row>
    <row r="6" spans="2:8" ht="21.75" customHeight="1" x14ac:dyDescent="0.25">
      <c r="B6" s="69" t="str">
        <f>'⚙️ Config'!C13</f>
        <v>Cafeterías y bebidas</v>
      </c>
      <c r="C6" s="59">
        <f>'🔍 Detector Hormiga'!C16</f>
        <v>110</v>
      </c>
      <c r="D6" s="101">
        <v>0.5</v>
      </c>
      <c r="E6" s="77">
        <f t="shared" ref="E6:E20" si="0">IF(C6=0,0,C6*VALUE(D6))</f>
        <v>55</v>
      </c>
      <c r="F6" s="78">
        <f t="shared" ref="F6:F20" si="1">IF(C6=0,0,E6*12)</f>
        <v>660</v>
      </c>
      <c r="G6" s="79" t="str">
        <f t="shared" ref="G6:G20" si="2">IF(E6=0,"Sin gasto","⬇️ Reducir "&amp;D6&amp;" = $"&amp;TEXT(E6,"#,##0")&amp;"/mes")</f>
        <v>⬇️ Reducir 0.5 = $55/mes</v>
      </c>
      <c r="H6" s="80"/>
    </row>
    <row r="7" spans="2:8" ht="21.75" customHeight="1" x14ac:dyDescent="0.25">
      <c r="B7" s="70" t="str">
        <f>'⚙️ Config'!C14</f>
        <v>Comida rápida y antojitos</v>
      </c>
      <c r="C7" s="63">
        <f>'🔍 Detector Hormiga'!C17</f>
        <v>225</v>
      </c>
      <c r="D7" s="76" t="s">
        <v>151</v>
      </c>
      <c r="E7" s="81">
        <f t="shared" si="0"/>
        <v>45</v>
      </c>
      <c r="F7" s="82">
        <f t="shared" si="1"/>
        <v>540</v>
      </c>
      <c r="G7" s="83" t="str">
        <f t="shared" si="2"/>
        <v>⬇️ Reducir 20% = $45/mes</v>
      </c>
      <c r="H7" s="80"/>
    </row>
    <row r="8" spans="2:8" ht="21.75" customHeight="1" x14ac:dyDescent="0.25">
      <c r="B8" s="69" t="str">
        <f>'⚙️ Config'!C15</f>
        <v>Supermercado y despensa</v>
      </c>
      <c r="C8" s="59">
        <f>'🔍 Detector Hormiga'!C18</f>
        <v>850</v>
      </c>
      <c r="D8" s="101">
        <v>0.5</v>
      </c>
      <c r="E8" s="77">
        <f t="shared" si="0"/>
        <v>425</v>
      </c>
      <c r="F8" s="78">
        <f t="shared" si="1"/>
        <v>5100</v>
      </c>
      <c r="G8" s="79" t="str">
        <f t="shared" si="2"/>
        <v>⬇️ Reducir 0.5 = $425/mes</v>
      </c>
      <c r="H8" s="80"/>
    </row>
    <row r="9" spans="2:8" ht="21.75" customHeight="1" x14ac:dyDescent="0.25">
      <c r="B9" s="70" t="str">
        <f>'⚙️ Config'!C16</f>
        <v>Transporte (taxi, valet, casetas)</v>
      </c>
      <c r="C9" s="63">
        <f>'🔍 Detector Hormiga'!C19</f>
        <v>65</v>
      </c>
      <c r="D9" s="76" t="s">
        <v>151</v>
      </c>
      <c r="E9" s="81">
        <f t="shared" si="0"/>
        <v>13</v>
      </c>
      <c r="F9" s="82">
        <f t="shared" si="1"/>
        <v>156</v>
      </c>
      <c r="G9" s="83" t="str">
        <f t="shared" si="2"/>
        <v>⬇️ Reducir 20% = $13/mes</v>
      </c>
      <c r="H9" s="80"/>
    </row>
    <row r="10" spans="2:8" ht="21.75" customHeight="1" x14ac:dyDescent="0.25">
      <c r="B10" s="69" t="str">
        <f>'⚙️ Config'!C17</f>
        <v>Apps y suscripciones</v>
      </c>
      <c r="C10" s="59">
        <f>'🔍 Detector Hormiga'!C20</f>
        <v>458</v>
      </c>
      <c r="D10" s="76" t="s">
        <v>151</v>
      </c>
      <c r="E10" s="77">
        <f t="shared" si="0"/>
        <v>91.600000000000009</v>
      </c>
      <c r="F10" s="78">
        <f t="shared" si="1"/>
        <v>1099.2</v>
      </c>
      <c r="G10" s="79" t="str">
        <f t="shared" si="2"/>
        <v>⬇️ Reducir 20% = $92/mes</v>
      </c>
      <c r="H10" s="80"/>
    </row>
    <row r="11" spans="2:8" ht="21.75" customHeight="1" x14ac:dyDescent="0.25">
      <c r="B11" s="70" t="str">
        <f>'⚙️ Config'!C18</f>
        <v>Snacks y dulcerías</v>
      </c>
      <c r="C11" s="63">
        <f>'🔍 Detector Hormiga'!C21</f>
        <v>42</v>
      </c>
      <c r="D11" s="76" t="s">
        <v>151</v>
      </c>
      <c r="E11" s="81">
        <f t="shared" si="0"/>
        <v>8.4</v>
      </c>
      <c r="F11" s="82">
        <f t="shared" si="1"/>
        <v>100.80000000000001</v>
      </c>
      <c r="G11" s="83" t="str">
        <f t="shared" si="2"/>
        <v>⬇️ Reducir 20% = $8/mes</v>
      </c>
      <c r="H11" s="80"/>
    </row>
    <row r="12" spans="2:8" ht="21.75" customHeight="1" x14ac:dyDescent="0.25">
      <c r="B12" s="69" t="str">
        <f>'⚙️ Config'!C19</f>
        <v>Compras de impulso online</v>
      </c>
      <c r="C12" s="59">
        <f>'🔍 Detector Hormiga'!C22</f>
        <v>189</v>
      </c>
      <c r="D12" s="76" t="s">
        <v>151</v>
      </c>
      <c r="E12" s="77">
        <f t="shared" si="0"/>
        <v>37.800000000000004</v>
      </c>
      <c r="F12" s="78">
        <f t="shared" si="1"/>
        <v>453.6</v>
      </c>
      <c r="G12" s="79" t="str">
        <f t="shared" si="2"/>
        <v>⬇️ Reducir 20% = $38/mes</v>
      </c>
      <c r="H12" s="80"/>
    </row>
    <row r="13" spans="2:8" ht="21.75" customHeight="1" x14ac:dyDescent="0.25">
      <c r="B13" s="70" t="str">
        <f>'⚙️ Config'!C20</f>
        <v>Farmacia y salud</v>
      </c>
      <c r="C13" s="63">
        <f>'🔍 Detector Hormiga'!C23</f>
        <v>145</v>
      </c>
      <c r="D13" s="76" t="s">
        <v>151</v>
      </c>
      <c r="E13" s="81">
        <f t="shared" si="0"/>
        <v>29</v>
      </c>
      <c r="F13" s="82">
        <f t="shared" si="1"/>
        <v>348</v>
      </c>
      <c r="G13" s="83" t="str">
        <f t="shared" si="2"/>
        <v>⬇️ Reducir 20% = $29/mes</v>
      </c>
      <c r="H13" s="80"/>
    </row>
    <row r="14" spans="2:8" ht="21.75" customHeight="1" x14ac:dyDescent="0.25">
      <c r="B14" s="69" t="str">
        <f>'⚙️ Config'!C21</f>
        <v>Entretenimiento y ocio</v>
      </c>
      <c r="C14" s="59">
        <f>'🔍 Detector Hormiga'!C24</f>
        <v>0</v>
      </c>
      <c r="D14" s="76" t="s">
        <v>151</v>
      </c>
      <c r="E14" s="77">
        <f t="shared" si="0"/>
        <v>0</v>
      </c>
      <c r="F14" s="78">
        <f t="shared" si="1"/>
        <v>0</v>
      </c>
      <c r="G14" s="79" t="str">
        <f t="shared" si="2"/>
        <v>Sin gasto</v>
      </c>
      <c r="H14" s="80"/>
    </row>
    <row r="15" spans="2:8" ht="21.75" customHeight="1" x14ac:dyDescent="0.25">
      <c r="B15" s="70" t="str">
        <f>'⚙️ Config'!C22</f>
        <v>Otros gastos</v>
      </c>
      <c r="C15" s="63">
        <f>'🔍 Detector Hormiga'!C25</f>
        <v>0</v>
      </c>
      <c r="D15" s="76" t="s">
        <v>151</v>
      </c>
      <c r="E15" s="81">
        <f t="shared" si="0"/>
        <v>0</v>
      </c>
      <c r="F15" s="82">
        <f t="shared" si="1"/>
        <v>0</v>
      </c>
      <c r="G15" s="83" t="str">
        <f t="shared" si="2"/>
        <v>Sin gasto</v>
      </c>
      <c r="H15" s="84"/>
    </row>
    <row r="16" spans="2:8" ht="21.75" customHeight="1" x14ac:dyDescent="0.25">
      <c r="B16" s="70" t="str">
        <f>'⚙️ Config'!C23</f>
        <v>Servicios (luz, agua, internet)</v>
      </c>
      <c r="C16" s="63">
        <f>'🔍 Detector Hormiga'!C26</f>
        <v>0</v>
      </c>
      <c r="D16" s="76" t="s">
        <v>151</v>
      </c>
      <c r="E16" s="81">
        <f t="shared" si="0"/>
        <v>0</v>
      </c>
      <c r="F16" s="82">
        <f t="shared" si="1"/>
        <v>0</v>
      </c>
      <c r="G16" s="83" t="str">
        <f t="shared" si="2"/>
        <v>Sin gasto</v>
      </c>
      <c r="H16" s="80"/>
    </row>
    <row r="17" spans="2:8" ht="21.75" customHeight="1" x14ac:dyDescent="0.25">
      <c r="B17" s="70" t="str">
        <f>'⚙️ Config'!C24</f>
        <v>Créditos y mensualidades</v>
      </c>
      <c r="C17" s="63">
        <f>'🔍 Detector Hormiga'!C27</f>
        <v>0</v>
      </c>
      <c r="D17" s="76" t="s">
        <v>151</v>
      </c>
      <c r="E17" s="81">
        <f t="shared" si="0"/>
        <v>0</v>
      </c>
      <c r="F17" s="82">
        <f t="shared" si="1"/>
        <v>0</v>
      </c>
      <c r="G17" s="83" t="str">
        <f t="shared" si="2"/>
        <v>Sin gasto</v>
      </c>
      <c r="H17" s="80"/>
    </row>
    <row r="18" spans="2:8" ht="21.75" customHeight="1" x14ac:dyDescent="0.25">
      <c r="B18" s="70" t="str">
        <f>'⚙️ Config'!C25</f>
        <v>Educación y cursos</v>
      </c>
      <c r="C18" s="63">
        <f>'🔍 Detector Hormiga'!C28</f>
        <v>0</v>
      </c>
      <c r="D18" s="76" t="s">
        <v>151</v>
      </c>
      <c r="E18" s="81">
        <f t="shared" si="0"/>
        <v>0</v>
      </c>
      <c r="F18" s="82">
        <f t="shared" si="1"/>
        <v>0</v>
      </c>
      <c r="G18" s="83" t="str">
        <f t="shared" si="2"/>
        <v>Sin gasto</v>
      </c>
      <c r="H18" s="80"/>
    </row>
    <row r="19" spans="2:8" ht="21.75" customHeight="1" x14ac:dyDescent="0.25">
      <c r="B19" s="70" t="str">
        <f>'⚙️ Config'!C26</f>
        <v>Cigarros y vapeadores</v>
      </c>
      <c r="C19" s="63">
        <f>'🔍 Detector Hormiga'!C29</f>
        <v>105</v>
      </c>
      <c r="D19" s="76" t="s">
        <v>151</v>
      </c>
      <c r="E19" s="81">
        <f t="shared" si="0"/>
        <v>21</v>
      </c>
      <c r="F19" s="82">
        <f t="shared" si="1"/>
        <v>252</v>
      </c>
      <c r="G19" s="83" t="str">
        <f t="shared" si="2"/>
        <v>⬇️ Reducir 20% = $21/mes</v>
      </c>
      <c r="H19" s="80"/>
    </row>
    <row r="20" spans="2:8" ht="21.75" customHeight="1" x14ac:dyDescent="0.25">
      <c r="B20" s="70" t="str">
        <f>'⚙️ Config'!C27</f>
        <v>Renta y alquiler</v>
      </c>
      <c r="C20" s="63">
        <f>'🔍 Detector Hormiga'!C30</f>
        <v>3500</v>
      </c>
      <c r="D20" s="76" t="s">
        <v>151</v>
      </c>
      <c r="E20" s="81">
        <f t="shared" si="0"/>
        <v>700</v>
      </c>
      <c r="F20" s="82">
        <f t="shared" si="1"/>
        <v>8400</v>
      </c>
      <c r="G20" s="83" t="str">
        <f t="shared" si="2"/>
        <v>⬇️ Reducir 20% = $700/mes</v>
      </c>
      <c r="H20" s="80"/>
    </row>
    <row r="21" spans="2:8" ht="15.75" customHeight="1" x14ac:dyDescent="0.25">
      <c r="B21" s="85" t="s">
        <v>152</v>
      </c>
      <c r="C21" s="86">
        <f>SUM(C6:C20)</f>
        <v>5689</v>
      </c>
      <c r="D21" s="87"/>
      <c r="E21" s="88">
        <f>SUM(E6:E20)</f>
        <v>1425.8</v>
      </c>
      <c r="F21" s="88">
        <f>SUM(F6:F20)</f>
        <v>17109.599999999999</v>
      </c>
      <c r="G21" s="87"/>
      <c r="H21" s="87"/>
    </row>
    <row r="22" spans="2:8" ht="15.75" customHeight="1" x14ac:dyDescent="0.25"/>
    <row r="23" spans="2:8" ht="75.75" customHeight="1" x14ac:dyDescent="0.25">
      <c r="B23" s="11" t="str">
        <f>IF(F21&gt;0,"💡 Si reduces estos gastos, en un año podrías tener $"&amp;TEXT(F21,"#,##0")&amp;" MXN extra — más de $"&amp;TEXT(F21/12,"#,##0")&amp;" al mes.","")</f>
        <v>💡 Si reduces estos gastos, en un año podrías tener $17,110 MXN extra — más de $1,426 al mes.</v>
      </c>
      <c r="C23" s="11"/>
      <c r="D23" s="11"/>
      <c r="E23" s="11"/>
      <c r="F23" s="11"/>
      <c r="G23" s="11"/>
      <c r="H23" s="11"/>
    </row>
  </sheetData>
  <mergeCells count="3">
    <mergeCell ref="B2:G2"/>
    <mergeCell ref="B3:G3"/>
    <mergeCell ref="B23:H23"/>
  </mergeCells>
  <dataValidations count="1">
    <dataValidation type="list" allowBlank="1" showInputMessage="1" promptTitle="% a reducir" prompt="Selecciona o escribe un porcentaje: 10%, 20%, 30%, 40%, 50%, 100%" sqref="D6:D20" xr:uid="{00000000-0002-0000-0500-000000000000}">
      <formula1>"10%,20%,30%,40%,50%,100%"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🏠 Inicio</vt:lpstr>
      <vt:lpstr>⚙️ Config</vt:lpstr>
      <vt:lpstr>📋 Gastos Diarios</vt:lpstr>
      <vt:lpstr>🔍 Detector Hormiga</vt:lpstr>
      <vt:lpstr>📊 Resumen Mensual</vt:lpstr>
      <vt:lpstr>🎯 Plan de Rescate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Josue Eduardo Bucio Pineda</cp:lastModifiedBy>
  <cp:revision>4</cp:revision>
  <dcterms:created xsi:type="dcterms:W3CDTF">2026-05-29T20:26:18Z</dcterms:created>
  <dcterms:modified xsi:type="dcterms:W3CDTF">2026-06-09T19:10:33Z</dcterms:modified>
  <dc:language>en-US</dc:language>
</cp:coreProperties>
</file>